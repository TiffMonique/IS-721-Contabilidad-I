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trlProps/ctrlProp2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ctrlProps/ctrlProp3.xml" ContentType="application/vnd.ms-excel.controlproperties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ctrlProps/ctrlProp4.xml" ContentType="application/vnd.ms-excel.controlproperties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trlProps/ctrlProp5.xml" ContentType="application/vnd.ms-excel.controlproperties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trlProps/ctrlProp6.xml" ContentType="application/vnd.ms-excel.controlproperties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showHorizontalScroll="0" showVerticalScroll="0" xWindow="-120" yWindow="-120" windowWidth="20730" windowHeight="11160"/>
  </bookViews>
  <sheets>
    <sheet name="MENU" sheetId="1" r:id="rId1"/>
    <sheet name="D" sheetId="2" state="hidden" r:id="rId2"/>
    <sheet name="I" sheetId="8" state="hidden" r:id="rId3"/>
    <sheet name="E" sheetId="9" state="hidden" r:id="rId4"/>
    <sheet name="ND" sheetId="10" state="hidden" r:id="rId5"/>
    <sheet name="NC" sheetId="11" state="hidden" r:id="rId6"/>
    <sheet name="DIARIO" sheetId="3" state="hidden" r:id="rId7"/>
    <sheet name="MAYOR" sheetId="4" state="hidden" r:id="rId8"/>
    <sheet name="BALANCE" sheetId="5" state="hidden" r:id="rId9"/>
    <sheet name="CATALOGO" sheetId="13" r:id="rId10"/>
    <sheet name="GENERAL" sheetId="6" state="hidden" r:id="rId11"/>
    <sheet name="RESULTADO" sheetId="7" state="hidden" r:id="rId12"/>
    <sheet name="Hoja14" sheetId="15" state="hidden" r:id="rId13"/>
  </sheets>
  <definedNames>
    <definedName name="AREA" localSheetId="3">E!$AA$16:$AE$60</definedName>
    <definedName name="AREA" localSheetId="2">I!$AA$11:$AE$55</definedName>
    <definedName name="AREA" localSheetId="5">NC!$AA$11:$AE$55</definedName>
    <definedName name="AREA" localSheetId="4">ND!$AA$11:$AE$55</definedName>
    <definedName name="AREA">D!$AA$11:$AE$57</definedName>
    <definedName name="_xlnm.Print_Area" localSheetId="8">BALANCE!$A$1:$F$160</definedName>
    <definedName name="_xlnm.Print_Area" localSheetId="1">D!$AA$1:$AE$64</definedName>
    <definedName name="_xlnm.Print_Area" localSheetId="6">DIARIO!$A$2:$M$200</definedName>
    <definedName name="_xlnm.Print_Area" localSheetId="3">E!$AA$1:$AE$68</definedName>
    <definedName name="_xlnm.Print_Area" localSheetId="10">GENERAL!$A$1:$D$122</definedName>
    <definedName name="_xlnm.Print_Area" localSheetId="2">I!$AA$1:$AE$62</definedName>
    <definedName name="_xlnm.Print_Area" localSheetId="7">MAYOR!$A$1:$K$200</definedName>
    <definedName name="_xlnm.Print_Area" localSheetId="5">NC!$AA$1:$AE$62</definedName>
    <definedName name="_xlnm.Print_Area" localSheetId="4">ND!$AA$1:$AE$62</definedName>
    <definedName name="_xlnm.Print_Area" localSheetId="11">RESULTADO!$A$1:$D$52</definedName>
    <definedName name="CodigoB">BALANCE!$A1</definedName>
    <definedName name="CodigoBG">GENERAL!$A1</definedName>
    <definedName name="CodigoD">DIARIO!$G$2:$G$1000</definedName>
    <definedName name="CodigoER">RESULTADO!$A1</definedName>
    <definedName name="DATOS" localSheetId="3">E!$C$10:$C$19</definedName>
    <definedName name="DATOS" localSheetId="2">I!$C$10:$C$19</definedName>
    <definedName name="DATOS" localSheetId="5">NC!$C$10:$C$19</definedName>
    <definedName name="DATOS" localSheetId="4">ND!$C$10:$C$19</definedName>
    <definedName name="DATOS">D!$C$10:$C$21</definedName>
    <definedName name="DEBE">DIARIO!$J$2:$J$1000</definedName>
    <definedName name="DEG">E!$F$4:$G$5,E!$D$4</definedName>
    <definedName name="HABER">DIARIO!$K$2:$K$1000</definedName>
    <definedName name="LIMCOD" localSheetId="3">E!$C$10:$C$19</definedName>
    <definedName name="LIMCOD" localSheetId="2">I!$C$10:$C$19</definedName>
    <definedName name="LIMCOD" localSheetId="5">NC!$C$10:$C$19</definedName>
    <definedName name="LIMCOD" localSheetId="4">ND!$C$10:$C$19</definedName>
    <definedName name="LIMCOD">D!$C$10:$C$21</definedName>
    <definedName name="LIMPIAR" localSheetId="3">E!$E$10:$G$18</definedName>
    <definedName name="LIMPIAR" localSheetId="2">I!$E$10:$G$18</definedName>
    <definedName name="LIMPIAR" localSheetId="5">NC!$E$10:$G$18</definedName>
    <definedName name="LIMPIAR" localSheetId="4">ND!$E$10:$G$18</definedName>
    <definedName name="LIMPIAR">D!$E$10:$G$18</definedName>
    <definedName name="mdato" localSheetId="1">D!$C$10:$G$18</definedName>
    <definedName name="PLAN">BALANCE!$A$10:$B$157</definedName>
    <definedName name="SELEC" localSheetId="3">E!$C$19</definedName>
    <definedName name="SELEC" localSheetId="2">I!$C$19</definedName>
    <definedName name="SELEC" localSheetId="5">NC!$C$19</definedName>
    <definedName name="SELEC" localSheetId="4">ND!$C$19</definedName>
    <definedName name="SELEC">D!$C$21</definedName>
    <definedName name="_xlnm.Print_Titles" localSheetId="8">BALANCE!$1:$8</definedName>
    <definedName name="_xlnm.Print_Titles" localSheetId="6">DIARIO!$1:$1</definedName>
    <definedName name="_xlnm.Print_Titles" localSheetId="10">GENERAL!$1:$7</definedName>
    <definedName name="_xlnm.Print_Titles" localSheetId="11">RESULTADO!$1:$7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4" l="1"/>
  <c r="AE13" i="9" l="1"/>
  <c r="AE12" i="9"/>
  <c r="AE11" i="9"/>
  <c r="AE10" i="9"/>
  <c r="AE9" i="9"/>
  <c r="AA11" i="9"/>
  <c r="AE1" i="9"/>
  <c r="D11" i="2"/>
  <c r="D12" i="2"/>
  <c r="D13" i="2"/>
  <c r="D14" i="2"/>
  <c r="D15" i="2"/>
  <c r="D16" i="2"/>
  <c r="D17" i="2"/>
  <c r="D18" i="2"/>
  <c r="D10" i="2"/>
  <c r="C19" i="7" a="1"/>
  <c r="C19" i="7" s="1"/>
  <c r="C15" i="7" a="1"/>
  <c r="C15" i="7" s="1"/>
  <c r="D13" i="7" a="1"/>
  <c r="D13" i="7" s="1"/>
  <c r="D9" i="7" a="1"/>
  <c r="D9" i="7" s="1"/>
  <c r="D10" i="7" a="1"/>
  <c r="D10" i="7" s="1"/>
  <c r="D77" i="6" a="1"/>
  <c r="D77" i="6" s="1"/>
  <c r="D78" i="6" a="1"/>
  <c r="D78" i="6" s="1"/>
  <c r="D85" i="6" a="1"/>
  <c r="D85" i="6" s="1"/>
  <c r="D86" i="6" a="1"/>
  <c r="D86" i="6" s="1"/>
  <c r="D94" i="6" a="1"/>
  <c r="D94" i="6" s="1"/>
  <c r="D71" i="6" a="1"/>
  <c r="D71" i="6" s="1"/>
  <c r="C14" i="6" a="1"/>
  <c r="C14" i="6" s="1"/>
  <c r="C15" i="6" a="1"/>
  <c r="C15" i="6" s="1"/>
  <c r="C16" i="6" a="1"/>
  <c r="C16" i="6" s="1"/>
  <c r="C22" i="6" a="1"/>
  <c r="C22" i="6" s="1"/>
  <c r="C23" i="6" a="1"/>
  <c r="C23" i="6" s="1"/>
  <c r="C24" i="6" a="1"/>
  <c r="C24" i="6" s="1"/>
  <c r="C30" i="6" a="1"/>
  <c r="C30" i="6" s="1"/>
  <c r="C31" i="6" a="1"/>
  <c r="C31" i="6" s="1"/>
  <c r="C32" i="6" a="1"/>
  <c r="C32" i="6" s="1"/>
  <c r="C38" i="6" a="1"/>
  <c r="C38" i="6" s="1"/>
  <c r="C39" i="6" a="1"/>
  <c r="C39" i="6" s="1"/>
  <c r="C40" i="6" a="1"/>
  <c r="C40" i="6" s="1"/>
  <c r="C46" i="6" a="1"/>
  <c r="C46" i="6" s="1"/>
  <c r="C47" i="6" a="1"/>
  <c r="C47" i="6" s="1"/>
  <c r="C48" i="6" a="1"/>
  <c r="C48" i="6" s="1"/>
  <c r="C54" i="6" a="1"/>
  <c r="C54" i="6" s="1"/>
  <c r="C55" i="6" a="1"/>
  <c r="C55" i="6" s="1"/>
  <c r="C56" i="6" a="1"/>
  <c r="C56" i="6" s="1"/>
  <c r="C62" i="6" a="1"/>
  <c r="C62" i="6" s="1"/>
  <c r="C63" i="6" a="1"/>
  <c r="C63" i="6" s="1"/>
  <c r="C64" i="6" a="1"/>
  <c r="C64" i="6" s="1"/>
  <c r="C70" i="6" a="1"/>
  <c r="C70" i="6" s="1"/>
  <c r="C8" i="6" a="1"/>
  <c r="C8" i="6" s="1"/>
  <c r="D11" i="5" a="1"/>
  <c r="D11" i="5" s="1"/>
  <c r="D12" i="5" a="1"/>
  <c r="D12" i="5" s="1"/>
  <c r="D13" i="5" a="1"/>
  <c r="D13" i="5" s="1"/>
  <c r="D14" i="5" a="1"/>
  <c r="D14" i="5" s="1"/>
  <c r="D15" i="5" a="1"/>
  <c r="D15" i="5" s="1"/>
  <c r="D16" i="5" a="1"/>
  <c r="D16" i="5" s="1"/>
  <c r="D17" i="5" a="1"/>
  <c r="D17" i="5" s="1"/>
  <c r="D18" i="5" a="1"/>
  <c r="D18" i="5" s="1"/>
  <c r="D19" i="5" a="1"/>
  <c r="D19" i="5" s="1"/>
  <c r="D20" i="5" a="1"/>
  <c r="D20" i="5" s="1"/>
  <c r="D21" i="5" a="1"/>
  <c r="D21" i="5" s="1"/>
  <c r="D22" i="5" a="1"/>
  <c r="D22" i="5" s="1"/>
  <c r="D23" i="5" a="1"/>
  <c r="D23" i="5" s="1"/>
  <c r="D24" i="5" a="1"/>
  <c r="D24" i="5" s="1"/>
  <c r="D25" i="5" a="1"/>
  <c r="D25" i="5" s="1"/>
  <c r="D26" i="5" a="1"/>
  <c r="D2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D77" i="5" a="1"/>
  <c r="D77" i="5" s="1"/>
  <c r="D78" i="5" a="1"/>
  <c r="D78" i="5" s="1"/>
  <c r="D79" i="5" a="1"/>
  <c r="D79" i="5" s="1"/>
  <c r="D80" i="5" a="1"/>
  <c r="D80" i="5" s="1"/>
  <c r="D81" i="5" a="1"/>
  <c r="D81" i="5" s="1"/>
  <c r="D82" i="5" a="1"/>
  <c r="D82" i="5" s="1"/>
  <c r="D83" i="5" a="1"/>
  <c r="D83" i="5" s="1"/>
  <c r="D84" i="5" a="1"/>
  <c r="D84" i="5" s="1"/>
  <c r="D85" i="5" a="1"/>
  <c r="D85" i="5" s="1"/>
  <c r="D86" i="5" a="1"/>
  <c r="D86" i="5" s="1"/>
  <c r="D87" i="5" a="1"/>
  <c r="D87" i="5" s="1"/>
  <c r="D88" i="5" a="1"/>
  <c r="D88" i="5" s="1"/>
  <c r="D89" i="5" a="1"/>
  <c r="D89" i="5" s="1"/>
  <c r="D90" i="5" a="1"/>
  <c r="D90" i="5" s="1"/>
  <c r="D91" i="5" a="1"/>
  <c r="D91" i="5" s="1"/>
  <c r="D92" i="5" a="1"/>
  <c r="D92" i="5" s="1"/>
  <c r="D93" i="5" a="1"/>
  <c r="D93" i="5" s="1"/>
  <c r="D94" i="5" a="1"/>
  <c r="D94" i="5" s="1"/>
  <c r="D95" i="5" a="1"/>
  <c r="D95" i="5" s="1"/>
  <c r="D96" i="5" a="1"/>
  <c r="D96" i="5" s="1"/>
  <c r="D97" i="5" a="1"/>
  <c r="D97" i="5" s="1"/>
  <c r="D98" i="5" a="1"/>
  <c r="D98" i="5" s="1"/>
  <c r="D99" i="5" a="1"/>
  <c r="D99" i="5" s="1"/>
  <c r="D100" i="5" a="1"/>
  <c r="D100" i="5" s="1"/>
  <c r="D101" i="5" a="1"/>
  <c r="D101" i="5" s="1"/>
  <c r="D102" i="5" a="1"/>
  <c r="D102" i="5" s="1"/>
  <c r="D103" i="5" a="1"/>
  <c r="D103" i="5" s="1"/>
  <c r="D104" i="5" a="1"/>
  <c r="D104" i="5" s="1"/>
  <c r="D105" i="5" a="1"/>
  <c r="D105" i="5" s="1"/>
  <c r="D106" i="5" a="1"/>
  <c r="D106" i="5" s="1"/>
  <c r="D107" i="5" a="1"/>
  <c r="D107" i="5" s="1"/>
  <c r="D108" i="5" a="1"/>
  <c r="D108" i="5" s="1"/>
  <c r="D109" i="5" a="1"/>
  <c r="D109" i="5" s="1"/>
  <c r="D110" i="5" a="1"/>
  <c r="D110" i="5" s="1"/>
  <c r="D111" i="5" a="1"/>
  <c r="D111" i="5" s="1"/>
  <c r="D112" i="5" a="1"/>
  <c r="D112" i="5" s="1"/>
  <c r="D113" i="5" a="1"/>
  <c r="D113" i="5" s="1"/>
  <c r="D114" i="5" a="1"/>
  <c r="D114" i="5" s="1"/>
  <c r="D115" i="5" a="1"/>
  <c r="D115" i="5" s="1"/>
  <c r="D116" i="5" a="1"/>
  <c r="D116" i="5" s="1"/>
  <c r="D117" i="5" a="1"/>
  <c r="D117" i="5" s="1"/>
  <c r="D118" i="5" a="1"/>
  <c r="D118" i="5" s="1"/>
  <c r="D119" i="5" a="1"/>
  <c r="D119" i="5" s="1"/>
  <c r="D120" i="5" a="1"/>
  <c r="D120" i="5" s="1"/>
  <c r="D121" i="5" a="1"/>
  <c r="D121" i="5" s="1"/>
  <c r="D122" i="5" a="1"/>
  <c r="D122" i="5" s="1"/>
  <c r="D123" i="5" a="1"/>
  <c r="D123" i="5" s="1"/>
  <c r="D124" i="5" a="1"/>
  <c r="D124" i="5" s="1"/>
  <c r="D125" i="5" a="1"/>
  <c r="D125" i="5" s="1"/>
  <c r="D126" i="5" a="1"/>
  <c r="D126" i="5" s="1"/>
  <c r="D127" i="5" a="1"/>
  <c r="D127" i="5" s="1"/>
  <c r="D128" i="5" a="1"/>
  <c r="D128" i="5" s="1"/>
  <c r="D129" i="5" a="1"/>
  <c r="D129" i="5" s="1"/>
  <c r="D130" i="5" a="1"/>
  <c r="D130" i="5" s="1"/>
  <c r="D131" i="5" a="1"/>
  <c r="D131" i="5" s="1"/>
  <c r="D132" i="5" a="1"/>
  <c r="D132" i="5" s="1"/>
  <c r="D133" i="5" a="1"/>
  <c r="D133" i="5" s="1"/>
  <c r="D134" i="5" a="1"/>
  <c r="D134" i="5" s="1"/>
  <c r="D135" i="5" a="1"/>
  <c r="D135" i="5" s="1"/>
  <c r="D136" i="5" a="1"/>
  <c r="D136" i="5" s="1"/>
  <c r="D137" i="5" a="1"/>
  <c r="D137" i="5" s="1"/>
  <c r="D138" i="5" a="1"/>
  <c r="D138" i="5" s="1"/>
  <c r="D139" i="5" a="1"/>
  <c r="D139" i="5" s="1"/>
  <c r="D140" i="5" a="1"/>
  <c r="D140" i="5" s="1"/>
  <c r="D141" i="5" a="1"/>
  <c r="D141" i="5" s="1"/>
  <c r="D142" i="5" a="1"/>
  <c r="D142" i="5" s="1"/>
  <c r="D143" i="5" a="1"/>
  <c r="D143" i="5" s="1"/>
  <c r="D144" i="5" a="1"/>
  <c r="D144" i="5" s="1"/>
  <c r="D145" i="5" a="1"/>
  <c r="D145" i="5" s="1"/>
  <c r="D146" i="5" a="1"/>
  <c r="D146" i="5" s="1"/>
  <c r="D147" i="5" a="1"/>
  <c r="D147" i="5" s="1"/>
  <c r="D148" i="5" a="1"/>
  <c r="D148" i="5" s="1"/>
  <c r="D149" i="5" a="1"/>
  <c r="D149" i="5" s="1"/>
  <c r="D150" i="5" a="1"/>
  <c r="D150" i="5" s="1"/>
  <c r="D151" i="5" a="1"/>
  <c r="D151" i="5" s="1"/>
  <c r="D152" i="5" a="1"/>
  <c r="D152" i="5" s="1"/>
  <c r="D153" i="5" a="1"/>
  <c r="D153" i="5" s="1"/>
  <c r="D154" i="5" a="1"/>
  <c r="D154" i="5" s="1"/>
  <c r="D155" i="5" a="1"/>
  <c r="D155" i="5" s="1"/>
  <c r="D156" i="5" a="1"/>
  <c r="D156" i="5" s="1"/>
  <c r="D157" i="5" a="1"/>
  <c r="D157" i="5" s="1"/>
  <c r="D10" i="5" a="1"/>
  <c r="D10" i="5" s="1"/>
  <c r="C11" i="5" a="1"/>
  <c r="C11" i="5" s="1"/>
  <c r="C12" i="5" a="1"/>
  <c r="C12" i="5" s="1"/>
  <c r="E12" i="5" s="1"/>
  <c r="C13" i="5" a="1"/>
  <c r="C13" i="5" s="1"/>
  <c r="C14" i="5" a="1"/>
  <c r="C14" i="5" s="1"/>
  <c r="C15" i="5" a="1"/>
  <c r="C15" i="5" s="1"/>
  <c r="F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E20" i="5" s="1"/>
  <c r="C21" i="5" a="1"/>
  <c r="C21" i="5" s="1"/>
  <c r="C22" i="5" a="1"/>
  <c r="C22" i="5" s="1"/>
  <c r="C23" i="5" a="1"/>
  <c r="C23" i="5" s="1"/>
  <c r="F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E28" i="5" s="1"/>
  <c r="C29" i="5" a="1"/>
  <c r="C29" i="5" s="1"/>
  <c r="C30" i="5" a="1"/>
  <c r="C30" i="5" s="1"/>
  <c r="C31" i="5" a="1"/>
  <c r="C31" i="5" s="1"/>
  <c r="F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E36" i="5" s="1"/>
  <c r="C37" i="5" a="1"/>
  <c r="C37" i="5" s="1"/>
  <c r="C38" i="5" a="1"/>
  <c r="C38" i="5" s="1"/>
  <c r="C39" i="5" a="1"/>
  <c r="C39" i="5" s="1"/>
  <c r="F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F44" i="5" s="1"/>
  <c r="C45" i="5" a="1"/>
  <c r="C45" i="5" s="1"/>
  <c r="C46" i="5" a="1"/>
  <c r="C46" i="5" s="1"/>
  <c r="E46" i="5" s="1"/>
  <c r="C47" i="5" a="1"/>
  <c r="C47" i="5" s="1"/>
  <c r="F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F52" i="5" s="1"/>
  <c r="C53" i="5" a="1"/>
  <c r="C53" i="5" s="1"/>
  <c r="C54" i="5" a="1"/>
  <c r="C54" i="5" s="1"/>
  <c r="E54" i="5" s="1"/>
  <c r="C55" i="5" a="1"/>
  <c r="C55" i="5" s="1"/>
  <c r="F55" i="5" s="1"/>
  <c r="C56" i="5" a="1"/>
  <c r="C56" i="5" s="1"/>
  <c r="F56" i="5" s="1"/>
  <c r="C57" i="5" a="1"/>
  <c r="C57" i="5" s="1"/>
  <c r="C58" i="5" a="1"/>
  <c r="C58" i="5" s="1"/>
  <c r="C59" i="5" a="1"/>
  <c r="C59" i="5" s="1"/>
  <c r="C60" i="5" a="1"/>
  <c r="C60" i="5" s="1"/>
  <c r="F60" i="5" s="1"/>
  <c r="C61" i="5" a="1"/>
  <c r="C61" i="5" s="1"/>
  <c r="C62" i="5" a="1"/>
  <c r="C62" i="5" s="1"/>
  <c r="E62" i="5" s="1"/>
  <c r="C63" i="5" a="1"/>
  <c r="C63" i="5" s="1"/>
  <c r="F63" i="5" s="1"/>
  <c r="C64" i="5" a="1"/>
  <c r="C64" i="5" s="1"/>
  <c r="F64" i="5" s="1"/>
  <c r="C65" i="5" a="1"/>
  <c r="C65" i="5" s="1"/>
  <c r="C66" i="5" a="1"/>
  <c r="C66" i="5" s="1"/>
  <c r="C67" i="5" a="1"/>
  <c r="C67" i="5" s="1"/>
  <c r="C68" i="5" a="1"/>
  <c r="C68" i="5" s="1"/>
  <c r="F68" i="5" s="1"/>
  <c r="C69" i="5" a="1"/>
  <c r="C69" i="5" s="1"/>
  <c r="C70" i="5" a="1"/>
  <c r="C70" i="5" s="1"/>
  <c r="E70" i="5" s="1"/>
  <c r="C71" i="5" a="1"/>
  <c r="C71" i="5" s="1"/>
  <c r="F71" i="5" s="1"/>
  <c r="C72" i="5" a="1"/>
  <c r="C72" i="5" s="1"/>
  <c r="F72" i="5" s="1"/>
  <c r="C73" i="5" a="1"/>
  <c r="C73" i="5" s="1"/>
  <c r="C74" i="5" a="1"/>
  <c r="C74" i="5" s="1"/>
  <c r="C75" i="5" a="1"/>
  <c r="C75" i="5" s="1"/>
  <c r="C76" i="5" a="1"/>
  <c r="C76" i="5" s="1"/>
  <c r="F76" i="5" s="1"/>
  <c r="C77" i="5" a="1"/>
  <c r="C77" i="5" s="1"/>
  <c r="C78" i="5" a="1"/>
  <c r="C78" i="5" s="1"/>
  <c r="E78" i="5" s="1"/>
  <c r="C79" i="5" a="1"/>
  <c r="C79" i="5" s="1"/>
  <c r="F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E86" i="5" s="1"/>
  <c r="C87" i="5" a="1"/>
  <c r="C87" i="5" s="1"/>
  <c r="F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E94" i="5" s="1"/>
  <c r="C95" i="5" a="1"/>
  <c r="C95" i="5" s="1"/>
  <c r="F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E102" i="5" s="1"/>
  <c r="C103" i="5" a="1"/>
  <c r="C103" i="5" s="1"/>
  <c r="F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E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F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F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F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F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0" i="5" a="1"/>
  <c r="C10" i="5" s="1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11" i="4"/>
  <c r="K10" i="4"/>
  <c r="I7" i="4"/>
  <c r="D2" i="11"/>
  <c r="D11" i="11"/>
  <c r="D12" i="11"/>
  <c r="D13" i="11"/>
  <c r="D14" i="11"/>
  <c r="D15" i="11"/>
  <c r="D16" i="11"/>
  <c r="D17" i="11"/>
  <c r="D18" i="11"/>
  <c r="D10" i="11"/>
  <c r="D2" i="10"/>
  <c r="D11" i="10"/>
  <c r="D12" i="10"/>
  <c r="D13" i="10"/>
  <c r="D14" i="10"/>
  <c r="D15" i="10"/>
  <c r="D16" i="10"/>
  <c r="D17" i="10"/>
  <c r="D18" i="10"/>
  <c r="D10" i="10"/>
  <c r="D2" i="9"/>
  <c r="D11" i="9"/>
  <c r="D12" i="9"/>
  <c r="D13" i="9"/>
  <c r="D14" i="9"/>
  <c r="D15" i="9"/>
  <c r="D16" i="9"/>
  <c r="D17" i="9"/>
  <c r="D18" i="9"/>
  <c r="D10" i="9"/>
  <c r="D2" i="8"/>
  <c r="D11" i="8"/>
  <c r="D12" i="8"/>
  <c r="D13" i="8"/>
  <c r="D14" i="8"/>
  <c r="D15" i="8"/>
  <c r="D16" i="8"/>
  <c r="D17" i="8"/>
  <c r="D18" i="8"/>
  <c r="D10" i="8"/>
  <c r="D2" i="2"/>
  <c r="V55" i="5"/>
  <c r="V56" i="5"/>
  <c r="V57" i="5"/>
  <c r="V58" i="5"/>
  <c r="V59" i="5"/>
  <c r="V60" i="5"/>
  <c r="V61" i="5"/>
  <c r="V54" i="5"/>
  <c r="V87" i="5"/>
  <c r="V86" i="5"/>
  <c r="V85" i="5"/>
  <c r="V83" i="5"/>
  <c r="V82" i="5"/>
  <c r="V81" i="5"/>
  <c r="V80" i="5"/>
  <c r="V79" i="5"/>
  <c r="V78" i="5"/>
  <c r="V77" i="5"/>
  <c r="V76" i="5"/>
  <c r="V72" i="5"/>
  <c r="V71" i="5"/>
  <c r="V70" i="5"/>
  <c r="V69" i="5"/>
  <c r="V68" i="5"/>
  <c r="V67" i="5"/>
  <c r="V66" i="5"/>
  <c r="V64" i="5"/>
  <c r="V63" i="5"/>
  <c r="V53" i="5"/>
  <c r="V52" i="5"/>
  <c r="V51" i="5"/>
  <c r="V50" i="5"/>
  <c r="V49" i="5"/>
  <c r="V48" i="5"/>
  <c r="V47" i="5"/>
  <c r="V46" i="5"/>
  <c r="V45" i="5"/>
  <c r="V42" i="5"/>
  <c r="V41" i="5"/>
  <c r="V40" i="5"/>
  <c r="V38" i="5"/>
  <c r="V37" i="5"/>
  <c r="V36" i="5"/>
  <c r="V35" i="5"/>
  <c r="V34" i="5"/>
  <c r="V33" i="5"/>
  <c r="V32" i="5"/>
  <c r="V31" i="5"/>
  <c r="V30" i="5"/>
  <c r="V28" i="5"/>
  <c r="V27" i="5"/>
  <c r="V26" i="5"/>
  <c r="V24" i="5"/>
  <c r="V23" i="5"/>
  <c r="V22" i="5"/>
  <c r="V21" i="5"/>
  <c r="V20" i="5"/>
  <c r="V19" i="5"/>
  <c r="V18" i="5"/>
  <c r="V17" i="5"/>
  <c r="V15" i="5"/>
  <c r="V14" i="5"/>
  <c r="V13" i="5"/>
  <c r="V103" i="5"/>
  <c r="V101" i="5"/>
  <c r="V100" i="5"/>
  <c r="V99" i="5"/>
  <c r="V91" i="5"/>
  <c r="V90" i="5"/>
  <c r="V89" i="5"/>
  <c r="V84" i="5"/>
  <c r="V75" i="5"/>
  <c r="V65" i="5"/>
  <c r="V62" i="5"/>
  <c r="V44" i="5"/>
  <c r="V39" i="5"/>
  <c r="V29" i="5"/>
  <c r="V25" i="5"/>
  <c r="V16" i="5"/>
  <c r="V12" i="5"/>
  <c r="V113" i="5"/>
  <c r="V112" i="5"/>
  <c r="V111" i="5"/>
  <c r="V110" i="5"/>
  <c r="V108" i="5"/>
  <c r="V107" i="5"/>
  <c r="V106" i="5"/>
  <c r="V105" i="5"/>
  <c r="V102" i="5"/>
  <c r="V98" i="5"/>
  <c r="V96" i="5"/>
  <c r="V95" i="5"/>
  <c r="V94" i="5"/>
  <c r="V93" i="5"/>
  <c r="V88" i="5"/>
  <c r="V74" i="5"/>
  <c r="V43" i="5"/>
  <c r="V11" i="5"/>
  <c r="V109" i="5"/>
  <c r="V104" i="5"/>
  <c r="V97" i="5"/>
  <c r="V92" i="5"/>
  <c r="V73" i="5"/>
  <c r="V10" i="5"/>
  <c r="A9" i="6"/>
  <c r="C9" i="6" s="1" a="1"/>
  <c r="C9" i="6" s="1"/>
  <c r="B9" i="6"/>
  <c r="A10" i="6"/>
  <c r="C10" i="6" s="1" a="1"/>
  <c r="C10" i="6" s="1"/>
  <c r="B10" i="6"/>
  <c r="A11" i="6"/>
  <c r="C11" i="6" s="1" a="1"/>
  <c r="C11" i="6" s="1"/>
  <c r="B11" i="6"/>
  <c r="A12" i="6"/>
  <c r="C12" i="6" s="1" a="1"/>
  <c r="C12" i="6" s="1"/>
  <c r="B12" i="6"/>
  <c r="A13" i="6"/>
  <c r="C13" i="6" s="1" a="1"/>
  <c r="C13" i="6" s="1"/>
  <c r="B13" i="6"/>
  <c r="A14" i="6"/>
  <c r="B14" i="6"/>
  <c r="A15" i="6"/>
  <c r="B15" i="6"/>
  <c r="A16" i="6"/>
  <c r="B16" i="6"/>
  <c r="A17" i="6"/>
  <c r="C17" i="6" s="1" a="1"/>
  <c r="C17" i="6" s="1"/>
  <c r="B17" i="6"/>
  <c r="A18" i="6"/>
  <c r="C18" i="6" s="1" a="1"/>
  <c r="C18" i="6" s="1"/>
  <c r="B18" i="6"/>
  <c r="A19" i="6"/>
  <c r="C19" i="6" s="1" a="1"/>
  <c r="C19" i="6" s="1"/>
  <c r="B19" i="6"/>
  <c r="A20" i="6"/>
  <c r="C20" i="6" s="1" a="1"/>
  <c r="C20" i="6" s="1"/>
  <c r="B20" i="6"/>
  <c r="A21" i="6"/>
  <c r="C21" i="6" s="1" a="1"/>
  <c r="C21" i="6" s="1"/>
  <c r="B21" i="6"/>
  <c r="A22" i="6"/>
  <c r="B22" i="6"/>
  <c r="A23" i="6"/>
  <c r="B23" i="6"/>
  <c r="A24" i="6"/>
  <c r="B24" i="6"/>
  <c r="A25" i="6"/>
  <c r="C25" i="6" s="1" a="1"/>
  <c r="C25" i="6" s="1"/>
  <c r="B25" i="6"/>
  <c r="A26" i="6"/>
  <c r="C26" i="6" s="1" a="1"/>
  <c r="C26" i="6" s="1"/>
  <c r="B26" i="6"/>
  <c r="A27" i="6"/>
  <c r="C27" i="6" s="1" a="1"/>
  <c r="C27" i="6" s="1"/>
  <c r="B27" i="6"/>
  <c r="A28" i="6"/>
  <c r="C28" i="6" s="1" a="1"/>
  <c r="C28" i="6" s="1"/>
  <c r="B28" i="6"/>
  <c r="A29" i="6"/>
  <c r="C29" i="6" s="1" a="1"/>
  <c r="C29" i="6" s="1"/>
  <c r="B29" i="6"/>
  <c r="A30" i="6"/>
  <c r="B30" i="6"/>
  <c r="A31" i="6"/>
  <c r="B31" i="6"/>
  <c r="A32" i="6"/>
  <c r="B32" i="6"/>
  <c r="A33" i="6"/>
  <c r="C33" i="6" s="1" a="1"/>
  <c r="C33" i="6" s="1"/>
  <c r="B33" i="6"/>
  <c r="A34" i="6"/>
  <c r="C34" i="6" s="1" a="1"/>
  <c r="C34" i="6" s="1"/>
  <c r="B34" i="6"/>
  <c r="A35" i="6"/>
  <c r="C35" i="6" s="1" a="1"/>
  <c r="C35" i="6" s="1"/>
  <c r="B35" i="6"/>
  <c r="A36" i="6"/>
  <c r="C36" i="6" s="1" a="1"/>
  <c r="C36" i="6" s="1"/>
  <c r="B36" i="6"/>
  <c r="A37" i="6"/>
  <c r="C37" i="6" s="1" a="1"/>
  <c r="C37" i="6" s="1"/>
  <c r="B37" i="6"/>
  <c r="A38" i="6"/>
  <c r="B38" i="6"/>
  <c r="A39" i="6"/>
  <c r="B39" i="6"/>
  <c r="A40" i="6"/>
  <c r="B40" i="6"/>
  <c r="A41" i="6"/>
  <c r="C41" i="6" s="1" a="1"/>
  <c r="C41" i="6" s="1"/>
  <c r="B41" i="6"/>
  <c r="A42" i="6"/>
  <c r="C42" i="6" s="1" a="1"/>
  <c r="C42" i="6" s="1"/>
  <c r="B42" i="6"/>
  <c r="A43" i="6"/>
  <c r="C43" i="6" s="1" a="1"/>
  <c r="C43" i="6" s="1"/>
  <c r="B43" i="6"/>
  <c r="A44" i="6"/>
  <c r="C44" i="6" s="1" a="1"/>
  <c r="C44" i="6" s="1"/>
  <c r="B44" i="6"/>
  <c r="A45" i="6"/>
  <c r="C45" i="6" s="1" a="1"/>
  <c r="C45" i="6" s="1"/>
  <c r="B45" i="6"/>
  <c r="A46" i="6"/>
  <c r="B46" i="6"/>
  <c r="A47" i="6"/>
  <c r="B47" i="6"/>
  <c r="A48" i="6"/>
  <c r="B48" i="6"/>
  <c r="A49" i="6"/>
  <c r="C49" i="6" s="1" a="1"/>
  <c r="C49" i="6" s="1"/>
  <c r="B49" i="6"/>
  <c r="A50" i="6"/>
  <c r="C50" i="6" s="1" a="1"/>
  <c r="C50" i="6" s="1"/>
  <c r="B50" i="6"/>
  <c r="A51" i="6"/>
  <c r="C51" i="6" s="1" a="1"/>
  <c r="C51" i="6" s="1"/>
  <c r="B51" i="6"/>
  <c r="A52" i="6"/>
  <c r="C52" i="6" s="1" a="1"/>
  <c r="C52" i="6" s="1"/>
  <c r="B52" i="6"/>
  <c r="A53" i="6"/>
  <c r="C53" i="6" s="1" a="1"/>
  <c r="C53" i="6" s="1"/>
  <c r="B53" i="6"/>
  <c r="A54" i="6"/>
  <c r="B54" i="6"/>
  <c r="A55" i="6"/>
  <c r="B55" i="6"/>
  <c r="A56" i="6"/>
  <c r="B56" i="6"/>
  <c r="A57" i="6"/>
  <c r="C57" i="6" s="1" a="1"/>
  <c r="C57" i="6" s="1"/>
  <c r="B57" i="6"/>
  <c r="A58" i="6"/>
  <c r="C58" i="6" s="1" a="1"/>
  <c r="C58" i="6" s="1"/>
  <c r="B58" i="6"/>
  <c r="A59" i="6"/>
  <c r="C59" i="6" s="1" a="1"/>
  <c r="C59" i="6" s="1"/>
  <c r="B59" i="6"/>
  <c r="A60" i="6"/>
  <c r="C60" i="6" s="1" a="1"/>
  <c r="C60" i="6" s="1"/>
  <c r="B60" i="6"/>
  <c r="A61" i="6"/>
  <c r="C61" i="6" s="1" a="1"/>
  <c r="C61" i="6" s="1"/>
  <c r="B61" i="6"/>
  <c r="A62" i="6"/>
  <c r="B62" i="6"/>
  <c r="A63" i="6"/>
  <c r="B63" i="6"/>
  <c r="A64" i="6"/>
  <c r="B64" i="6"/>
  <c r="A65" i="6"/>
  <c r="C65" i="6" s="1" a="1"/>
  <c r="C65" i="6" s="1"/>
  <c r="B65" i="6"/>
  <c r="A66" i="6"/>
  <c r="C66" i="6" s="1" a="1"/>
  <c r="C66" i="6" s="1"/>
  <c r="B66" i="6"/>
  <c r="A67" i="6"/>
  <c r="C67" i="6" s="1" a="1"/>
  <c r="C67" i="6" s="1"/>
  <c r="B67" i="6"/>
  <c r="A68" i="6"/>
  <c r="C68" i="6" s="1" a="1"/>
  <c r="C68" i="6" s="1"/>
  <c r="B68" i="6"/>
  <c r="A69" i="6"/>
  <c r="C69" i="6" s="1" a="1"/>
  <c r="C69" i="6" s="1"/>
  <c r="B69" i="6"/>
  <c r="A70" i="6"/>
  <c r="B70" i="6"/>
  <c r="A71" i="6"/>
  <c r="B71" i="6"/>
  <c r="A72" i="6"/>
  <c r="D72" i="6" s="1" a="1"/>
  <c r="D72" i="6" s="1"/>
  <c r="B72" i="6"/>
  <c r="A73" i="6"/>
  <c r="D73" i="6" s="1" a="1"/>
  <c r="D73" i="6" s="1"/>
  <c r="B73" i="6"/>
  <c r="A74" i="6"/>
  <c r="D74" i="6" s="1" a="1"/>
  <c r="D74" i="6" s="1"/>
  <c r="B74" i="6"/>
  <c r="A75" i="6"/>
  <c r="D75" i="6" s="1" a="1"/>
  <c r="D75" i="6" s="1"/>
  <c r="B75" i="6"/>
  <c r="A76" i="6"/>
  <c r="D76" i="6" s="1" a="1"/>
  <c r="D76" i="6" s="1"/>
  <c r="B76" i="6"/>
  <c r="A77" i="6"/>
  <c r="B77" i="6"/>
  <c r="A78" i="6"/>
  <c r="B78" i="6"/>
  <c r="A79" i="6"/>
  <c r="D79" i="6" s="1" a="1"/>
  <c r="D79" i="6" s="1"/>
  <c r="B79" i="6"/>
  <c r="A80" i="6"/>
  <c r="D80" i="6" s="1" a="1"/>
  <c r="D80" i="6" s="1"/>
  <c r="B80" i="6"/>
  <c r="A81" i="6"/>
  <c r="D81" i="6" s="1" a="1"/>
  <c r="D81" i="6" s="1"/>
  <c r="B81" i="6"/>
  <c r="A82" i="6"/>
  <c r="D82" i="6" s="1" a="1"/>
  <c r="D82" i="6" s="1"/>
  <c r="B82" i="6"/>
  <c r="A83" i="6"/>
  <c r="D83" i="6" s="1" a="1"/>
  <c r="D83" i="6" s="1"/>
  <c r="B83" i="6"/>
  <c r="A84" i="6"/>
  <c r="D84" i="6" s="1" a="1"/>
  <c r="D84" i="6" s="1"/>
  <c r="B84" i="6"/>
  <c r="A85" i="6"/>
  <c r="B85" i="6"/>
  <c r="A86" i="6"/>
  <c r="B86" i="6"/>
  <c r="A87" i="6"/>
  <c r="D87" i="6" s="1" a="1"/>
  <c r="D87" i="6" s="1"/>
  <c r="B87" i="6"/>
  <c r="A88" i="6"/>
  <c r="D88" i="6" s="1" a="1"/>
  <c r="D88" i="6" s="1"/>
  <c r="B88" i="6"/>
  <c r="A89" i="6"/>
  <c r="D89" i="6" s="1" a="1"/>
  <c r="D89" i="6" s="1"/>
  <c r="B89" i="6"/>
  <c r="A90" i="6"/>
  <c r="D90" i="6" s="1" a="1"/>
  <c r="D90" i="6" s="1"/>
  <c r="B90" i="6"/>
  <c r="A91" i="6"/>
  <c r="D91" i="6" s="1" a="1"/>
  <c r="D91" i="6" s="1"/>
  <c r="B91" i="6"/>
  <c r="A92" i="6"/>
  <c r="D92" i="6" s="1" a="1"/>
  <c r="D92" i="6" s="1"/>
  <c r="B92" i="6"/>
  <c r="A93" i="6"/>
  <c r="B93" i="6"/>
  <c r="A94" i="6"/>
  <c r="B94" i="6"/>
  <c r="B8" i="6"/>
  <c r="A8" i="6"/>
  <c r="B5" i="6"/>
  <c r="A1" i="6"/>
  <c r="A9" i="7"/>
  <c r="B9" i="7"/>
  <c r="A10" i="7"/>
  <c r="B10" i="7"/>
  <c r="A11" i="7"/>
  <c r="C11" i="7" s="1" a="1"/>
  <c r="C11" i="7" s="1"/>
  <c r="B11" i="7"/>
  <c r="A12" i="7"/>
  <c r="C12" i="7" s="1" a="1"/>
  <c r="C12" i="7" s="1"/>
  <c r="B12" i="7"/>
  <c r="A13" i="7"/>
  <c r="B13" i="7"/>
  <c r="A14" i="7"/>
  <c r="D14" i="7" s="1" a="1"/>
  <c r="D14" i="7" s="1"/>
  <c r="B14" i="7"/>
  <c r="A15" i="7"/>
  <c r="B15" i="7"/>
  <c r="A16" i="7"/>
  <c r="C16" i="7" s="1" a="1"/>
  <c r="C16" i="7" s="1"/>
  <c r="B16" i="7"/>
  <c r="A17" i="7"/>
  <c r="D17" i="7" s="1" a="1"/>
  <c r="D17" i="7" s="1"/>
  <c r="B17" i="7"/>
  <c r="A18" i="7"/>
  <c r="D18" i="7" s="1" a="1"/>
  <c r="D18" i="7" s="1"/>
  <c r="B18" i="7"/>
  <c r="A19" i="7"/>
  <c r="B19" i="7"/>
  <c r="A20" i="7"/>
  <c r="C20" i="7" s="1" a="1"/>
  <c r="C20" i="7" s="1"/>
  <c r="B20" i="7"/>
  <c r="A21" i="7"/>
  <c r="C21" i="7" s="1" a="1"/>
  <c r="C21" i="7" s="1"/>
  <c r="B21" i="7"/>
  <c r="A22" i="7"/>
  <c r="C22" i="7" s="1" a="1"/>
  <c r="C22" i="7" s="1"/>
  <c r="B22" i="7"/>
  <c r="A23" i="7"/>
  <c r="C23" i="7" s="1" a="1"/>
  <c r="C23" i="7" s="1"/>
  <c r="B23" i="7"/>
  <c r="A24" i="7"/>
  <c r="C24" i="7" s="1" a="1"/>
  <c r="C24" i="7" s="1"/>
  <c r="B24" i="7"/>
  <c r="B8" i="7"/>
  <c r="A8" i="7"/>
  <c r="D8" i="7" s="1" a="1"/>
  <c r="D8" i="7" s="1"/>
  <c r="B5" i="7"/>
  <c r="A1" i="7"/>
  <c r="V114" i="5"/>
  <c r="V115" i="5"/>
  <c r="V116" i="5"/>
  <c r="V117" i="5"/>
  <c r="F107" i="5" l="1"/>
  <c r="F75" i="5"/>
  <c r="F43" i="5"/>
  <c r="F19" i="5"/>
  <c r="F11" i="5"/>
  <c r="F83" i="5"/>
  <c r="F51" i="5"/>
  <c r="E114" i="5"/>
  <c r="E106" i="5"/>
  <c r="E98" i="5"/>
  <c r="E90" i="5"/>
  <c r="E82" i="5"/>
  <c r="E74" i="5"/>
  <c r="E66" i="5"/>
  <c r="E58" i="5"/>
  <c r="F99" i="5"/>
  <c r="F67" i="5"/>
  <c r="F35" i="5"/>
  <c r="F137" i="5"/>
  <c r="F129" i="5"/>
  <c r="F121" i="5"/>
  <c r="F91" i="5"/>
  <c r="F59" i="5"/>
  <c r="F27" i="5"/>
  <c r="F145" i="5"/>
  <c r="F149" i="5"/>
  <c r="F157" i="5"/>
  <c r="F153" i="5"/>
  <c r="F10" i="5"/>
  <c r="F84" i="5"/>
  <c r="F80" i="5"/>
  <c r="F156" i="5"/>
  <c r="F152" i="5"/>
  <c r="F148" i="5"/>
  <c r="E144" i="5"/>
  <c r="F140" i="5"/>
  <c r="F136" i="5"/>
  <c r="F132" i="5"/>
  <c r="E128" i="5"/>
  <c r="F124" i="5"/>
  <c r="F120" i="5"/>
  <c r="F116" i="5"/>
  <c r="F112" i="5"/>
  <c r="F108" i="5"/>
  <c r="F104" i="5"/>
  <c r="F100" i="5"/>
  <c r="F96" i="5"/>
  <c r="F92" i="5"/>
  <c r="F88" i="5"/>
  <c r="E155" i="5"/>
  <c r="F151" i="5"/>
  <c r="E147" i="5"/>
  <c r="F143" i="5"/>
  <c r="E139" i="5"/>
  <c r="F135" i="5"/>
  <c r="E131" i="5"/>
  <c r="F127" i="5"/>
  <c r="E123" i="5"/>
  <c r="E119" i="5"/>
  <c r="F115" i="5"/>
  <c r="F111" i="5"/>
  <c r="C27" i="7"/>
  <c r="D26" i="7"/>
  <c r="F48" i="5"/>
  <c r="E48" i="5"/>
  <c r="E42" i="5"/>
  <c r="F42" i="5"/>
  <c r="F32" i="5"/>
  <c r="E32" i="5"/>
  <c r="E26" i="5"/>
  <c r="F26" i="5"/>
  <c r="F16" i="5"/>
  <c r="E16" i="5"/>
  <c r="E50" i="5"/>
  <c r="F50" i="5"/>
  <c r="F40" i="5"/>
  <c r="E40" i="5"/>
  <c r="E34" i="5"/>
  <c r="F34" i="5"/>
  <c r="F24" i="5"/>
  <c r="E24" i="5"/>
  <c r="E18" i="5"/>
  <c r="F18" i="5"/>
  <c r="E49" i="5"/>
  <c r="F49" i="5"/>
  <c r="E41" i="5"/>
  <c r="F41" i="5"/>
  <c r="E38" i="5"/>
  <c r="E33" i="5"/>
  <c r="F33" i="5"/>
  <c r="E30" i="5"/>
  <c r="E25" i="5"/>
  <c r="F25" i="5"/>
  <c r="E22" i="5"/>
  <c r="E17" i="5"/>
  <c r="F17" i="5"/>
  <c r="E14" i="5"/>
  <c r="D158" i="5"/>
  <c r="E10" i="5"/>
  <c r="E153" i="5"/>
  <c r="E148" i="5"/>
  <c r="E143" i="5"/>
  <c r="E137" i="5"/>
  <c r="E132" i="5"/>
  <c r="E127" i="5"/>
  <c r="E120" i="5"/>
  <c r="E111" i="5"/>
  <c r="E103" i="5"/>
  <c r="E95" i="5"/>
  <c r="E87" i="5"/>
  <c r="E79" i="5"/>
  <c r="E71" i="5"/>
  <c r="E63" i="5"/>
  <c r="E55" i="5"/>
  <c r="E47" i="5"/>
  <c r="E39" i="5"/>
  <c r="E31" i="5"/>
  <c r="E23" i="5"/>
  <c r="E15" i="5"/>
  <c r="F155" i="5"/>
  <c r="F147" i="5"/>
  <c r="F139" i="5"/>
  <c r="F131" i="5"/>
  <c r="F123" i="5"/>
  <c r="F114" i="5"/>
  <c r="F106" i="5"/>
  <c r="F98" i="5"/>
  <c r="F90" i="5"/>
  <c r="F82" i="5"/>
  <c r="F74" i="5"/>
  <c r="F66" i="5"/>
  <c r="F58" i="5"/>
  <c r="C96" i="6"/>
  <c r="E154" i="5"/>
  <c r="F154" i="5"/>
  <c r="E150" i="5"/>
  <c r="F150" i="5"/>
  <c r="E146" i="5"/>
  <c r="F146" i="5"/>
  <c r="E142" i="5"/>
  <c r="F142" i="5"/>
  <c r="E138" i="5"/>
  <c r="F138" i="5"/>
  <c r="E134" i="5"/>
  <c r="F134" i="5"/>
  <c r="E130" i="5"/>
  <c r="F130" i="5"/>
  <c r="E126" i="5"/>
  <c r="F126" i="5"/>
  <c r="E122" i="5"/>
  <c r="F122" i="5"/>
  <c r="E118" i="5"/>
  <c r="F118" i="5"/>
  <c r="E157" i="5"/>
  <c r="E152" i="5"/>
  <c r="E141" i="5"/>
  <c r="E136" i="5"/>
  <c r="E125" i="5"/>
  <c r="E117" i="5"/>
  <c r="E108" i="5"/>
  <c r="E100" i="5"/>
  <c r="E92" i="5"/>
  <c r="E84" i="5"/>
  <c r="E76" i="5"/>
  <c r="E68" i="5"/>
  <c r="E60" i="5"/>
  <c r="E52" i="5"/>
  <c r="E44" i="5"/>
  <c r="F144" i="5"/>
  <c r="F128" i="5"/>
  <c r="E113" i="5"/>
  <c r="F113" i="5"/>
  <c r="E109" i="5"/>
  <c r="F109" i="5"/>
  <c r="E105" i="5"/>
  <c r="F105" i="5"/>
  <c r="E101" i="5"/>
  <c r="F101" i="5"/>
  <c r="E97" i="5"/>
  <c r="F97" i="5"/>
  <c r="E93" i="5"/>
  <c r="F93" i="5"/>
  <c r="E89" i="5"/>
  <c r="F89" i="5"/>
  <c r="E85" i="5"/>
  <c r="F85" i="5"/>
  <c r="E81" i="5"/>
  <c r="F81" i="5"/>
  <c r="E77" i="5"/>
  <c r="F77" i="5"/>
  <c r="E73" i="5"/>
  <c r="F73" i="5"/>
  <c r="E69" i="5"/>
  <c r="F69" i="5"/>
  <c r="E65" i="5"/>
  <c r="F65" i="5"/>
  <c r="E61" i="5"/>
  <c r="F61" i="5"/>
  <c r="E57" i="5"/>
  <c r="F57" i="5"/>
  <c r="E53" i="5"/>
  <c r="F53" i="5"/>
  <c r="E45" i="5"/>
  <c r="F45" i="5"/>
  <c r="E37" i="5"/>
  <c r="F37" i="5"/>
  <c r="E29" i="5"/>
  <c r="F29" i="5"/>
  <c r="E21" i="5"/>
  <c r="F21" i="5"/>
  <c r="E13" i="5"/>
  <c r="F13" i="5"/>
  <c r="E156" i="5"/>
  <c r="E151" i="5"/>
  <c r="E145" i="5"/>
  <c r="E140" i="5"/>
  <c r="E135" i="5"/>
  <c r="E129" i="5"/>
  <c r="E124" i="5"/>
  <c r="E115" i="5"/>
  <c r="E107" i="5"/>
  <c r="E99" i="5"/>
  <c r="E91" i="5"/>
  <c r="E83" i="5"/>
  <c r="E75" i="5"/>
  <c r="E67" i="5"/>
  <c r="E59" i="5"/>
  <c r="E51" i="5"/>
  <c r="E43" i="5"/>
  <c r="E35" i="5"/>
  <c r="E27" i="5"/>
  <c r="E19" i="5"/>
  <c r="E11" i="5"/>
  <c r="F119" i="5"/>
  <c r="F110" i="5"/>
  <c r="F102" i="5"/>
  <c r="F94" i="5"/>
  <c r="F86" i="5"/>
  <c r="F78" i="5"/>
  <c r="F70" i="5"/>
  <c r="F62" i="5"/>
  <c r="F54" i="5"/>
  <c r="F46" i="5"/>
  <c r="F38" i="5"/>
  <c r="F30" i="5"/>
  <c r="F22" i="5"/>
  <c r="F14" i="5"/>
  <c r="F36" i="5"/>
  <c r="F28" i="5"/>
  <c r="F20" i="5"/>
  <c r="F12" i="5"/>
  <c r="E149" i="5"/>
  <c r="E133" i="5"/>
  <c r="E121" i="5"/>
  <c r="E112" i="5"/>
  <c r="E104" i="5"/>
  <c r="E96" i="5"/>
  <c r="E88" i="5"/>
  <c r="E80" i="5"/>
  <c r="E72" i="5"/>
  <c r="E64" i="5"/>
  <c r="E56" i="5"/>
  <c r="C158" i="5"/>
  <c r="E116" i="5"/>
  <c r="B5" i="5"/>
  <c r="A1" i="5"/>
  <c r="A4" i="4"/>
  <c r="B2" i="4"/>
  <c r="AD56" i="11"/>
  <c r="AC56" i="11"/>
  <c r="F20" i="11"/>
  <c r="E20" i="11"/>
  <c r="F21" i="11" s="1"/>
  <c r="G20" i="11" s="1"/>
  <c r="AA6" i="11"/>
  <c r="AE5" i="11"/>
  <c r="AE4" i="11"/>
  <c r="AA3" i="11"/>
  <c r="AA1" i="11"/>
  <c r="AD56" i="10"/>
  <c r="AC56" i="10"/>
  <c r="F21" i="10"/>
  <c r="G20" i="10" s="1"/>
  <c r="F20" i="10"/>
  <c r="E20" i="10"/>
  <c r="AA6" i="10"/>
  <c r="AE5" i="10"/>
  <c r="AE4" i="10"/>
  <c r="AA3" i="10"/>
  <c r="AA1" i="10"/>
  <c r="AD61" i="9"/>
  <c r="AC61" i="9"/>
  <c r="F20" i="9"/>
  <c r="E20" i="9"/>
  <c r="AD56" i="8"/>
  <c r="AC56" i="8"/>
  <c r="F20" i="8"/>
  <c r="E20" i="8"/>
  <c r="AA6" i="8"/>
  <c r="AE5" i="8"/>
  <c r="AE4" i="8"/>
  <c r="AA3" i="8"/>
  <c r="AA1" i="8"/>
  <c r="AD58" i="2"/>
  <c r="AC58" i="2"/>
  <c r="AA6" i="2"/>
  <c r="AE5" i="2"/>
  <c r="AE4" i="2"/>
  <c r="AA3" i="2"/>
  <c r="AA1" i="2"/>
  <c r="F22" i="2"/>
  <c r="E22" i="2"/>
  <c r="F21" i="9" l="1"/>
  <c r="G20" i="9" s="1"/>
  <c r="D31" i="7"/>
  <c r="C31" i="7"/>
  <c r="D28" i="7"/>
  <c r="D29" i="7" s="1"/>
  <c r="C28" i="7"/>
  <c r="C29" i="7" s="1"/>
  <c r="D159" i="5"/>
  <c r="F23" i="2"/>
  <c r="G22" i="2" s="1"/>
  <c r="F158" i="5"/>
  <c r="E158" i="5"/>
  <c r="F21" i="8"/>
  <c r="G20" i="8" s="1"/>
  <c r="D93" i="6" l="1"/>
  <c r="D96" i="6" s="1"/>
</calcChain>
</file>

<file path=xl/sharedStrings.xml><?xml version="1.0" encoding="utf-8"?>
<sst xmlns="http://schemas.openxmlformats.org/spreadsheetml/2006/main" count="742" uniqueCount="378">
  <si>
    <t>Codigo</t>
  </si>
  <si>
    <t>Descripcion</t>
  </si>
  <si>
    <t>Debe</t>
  </si>
  <si>
    <t>Haber</t>
  </si>
  <si>
    <t>Detalles</t>
  </si>
  <si>
    <t>ASIENTO DE DIARIO</t>
  </si>
  <si>
    <t>ASI-</t>
  </si>
  <si>
    <t># ASIENTO:</t>
  </si>
  <si>
    <t>FECHA:</t>
  </si>
  <si>
    <t>CONCEPTO:</t>
  </si>
  <si>
    <t>NOTAS:</t>
  </si>
  <si>
    <t>TOTAL:</t>
  </si>
  <si>
    <t>HAZ CLIC EN EL BOTON NUEVA LINEA</t>
  </si>
  <si>
    <t>PLAN DE CUENTAS</t>
  </si>
  <si>
    <t>ASI N#:</t>
  </si>
  <si>
    <t>CODIGO</t>
  </si>
  <si>
    <t>DESCRIPCION</t>
  </si>
  <si>
    <t>DEBE</t>
  </si>
  <si>
    <t>HABER</t>
  </si>
  <si>
    <t>DETALLES</t>
  </si>
  <si>
    <t>SUMAN</t>
  </si>
  <si>
    <t>REVISADO POR</t>
  </si>
  <si>
    <t xml:space="preserve">             ELABORADO POR</t>
  </si>
  <si>
    <t xml:space="preserve">          AUTORIZADO POR</t>
  </si>
  <si>
    <t>COMPROBANTE DE INGRESO</t>
  </si>
  <si>
    <t>CIN-</t>
  </si>
  <si>
    <t>INGRESO N#:</t>
  </si>
  <si>
    <t>COMPROBANTE DE EGRESO</t>
  </si>
  <si>
    <t>CEG-</t>
  </si>
  <si>
    <t>EGRESO N#:</t>
  </si>
  <si>
    <t>CHEQUE N#:</t>
  </si>
  <si>
    <t>BENEFICIARIO</t>
  </si>
  <si>
    <t>CUENTA N#:</t>
  </si>
  <si>
    <t>NOTA DE DEBITO</t>
  </si>
  <si>
    <t>N_D</t>
  </si>
  <si>
    <t>NOTA DEBIT. N#:</t>
  </si>
  <si>
    <t>NOTA DE CREDITO</t>
  </si>
  <si>
    <t>N_C</t>
  </si>
  <si>
    <t>NOTA CREDIT. N#:</t>
  </si>
  <si>
    <t>FECHA</t>
  </si>
  <si>
    <t>ASI N#</t>
  </si>
  <si>
    <t>ING. N#</t>
  </si>
  <si>
    <t>EGR N#</t>
  </si>
  <si>
    <t>ND N#</t>
  </si>
  <si>
    <t>NC N#</t>
  </si>
  <si>
    <t>CUENTAS</t>
  </si>
  <si>
    <t>ING N#</t>
  </si>
  <si>
    <t>SALDOS</t>
  </si>
  <si>
    <t>MAYOR GENERAL</t>
  </si>
  <si>
    <t>CUENTA:</t>
  </si>
  <si>
    <t>DEBITOS</t>
  </si>
  <si>
    <t>CREDITOS</t>
  </si>
  <si>
    <t>DEUDOR</t>
  </si>
  <si>
    <t>ACREEDOR</t>
  </si>
  <si>
    <t>MOVIMIENTOS</t>
  </si>
  <si>
    <t>BALANCE DE COMPROBACION</t>
  </si>
  <si>
    <t>SUMAS TOTALES</t>
  </si>
  <si>
    <t>CATALOGO DE CUENTAS</t>
  </si>
  <si>
    <t>CUENTA</t>
  </si>
  <si>
    <t>Activo</t>
  </si>
  <si>
    <t>Activo Corriente</t>
  </si>
  <si>
    <t>Caja Chica</t>
  </si>
  <si>
    <t>Caja General</t>
  </si>
  <si>
    <t>Bancos</t>
  </si>
  <si>
    <t>Cuentas por cobrar</t>
  </si>
  <si>
    <t>Inventarios</t>
  </si>
  <si>
    <t>Pagos Anticipados</t>
  </si>
  <si>
    <t>Alquileres Pagados por Anticipado</t>
  </si>
  <si>
    <t>Seguros Pagados por Anticipado</t>
  </si>
  <si>
    <t>Activo No Corriente</t>
  </si>
  <si>
    <t>Propiedad Planta y Equipo</t>
  </si>
  <si>
    <t>Terrenos</t>
  </si>
  <si>
    <t>Edificios</t>
  </si>
  <si>
    <t>Depreciación Acumulada de Edificios</t>
  </si>
  <si>
    <t>Mobiliario y Equipo</t>
  </si>
  <si>
    <t>Depreciación Acumulada de Mobiliario y Equipo</t>
  </si>
  <si>
    <t>Activos Intangibles</t>
  </si>
  <si>
    <t>Crédito Mercantil</t>
  </si>
  <si>
    <t>Patentes</t>
  </si>
  <si>
    <t>Pasivo</t>
  </si>
  <si>
    <t>Pasivo Corriente</t>
  </si>
  <si>
    <t>Proveedores</t>
  </si>
  <si>
    <t>Acreedores Varios</t>
  </si>
  <si>
    <t>Documentos por Pagar</t>
  </si>
  <si>
    <t>Impuestos Por Pagar</t>
  </si>
  <si>
    <t>Pasivo NO Corriente</t>
  </si>
  <si>
    <t>Préstamos  por Pagar</t>
  </si>
  <si>
    <t>Reserva Laboral</t>
  </si>
  <si>
    <t>Patrimonio</t>
  </si>
  <si>
    <t>Capital Social</t>
  </si>
  <si>
    <t>Utilidad o pérdida acumulada</t>
  </si>
  <si>
    <t>Utilidad o pérdida del período</t>
  </si>
  <si>
    <t>Reserva Legal</t>
  </si>
  <si>
    <t>Ingresos</t>
  </si>
  <si>
    <t>Ingresos Ordinarios</t>
  </si>
  <si>
    <t>Ventas</t>
  </si>
  <si>
    <t>Devoluciones Sobre Ventas</t>
  </si>
  <si>
    <t>Rebajas Sobre Ventas</t>
  </si>
  <si>
    <t>Ingresos Extraordinarios</t>
  </si>
  <si>
    <t>Otros Ingresos</t>
  </si>
  <si>
    <t>Costo de Ventas</t>
  </si>
  <si>
    <t>Compras</t>
  </si>
  <si>
    <t>Gastos Sobre Compras</t>
  </si>
  <si>
    <t>Devoluciones sobre compras</t>
  </si>
  <si>
    <t>Descuentos y rebajas sobre compras</t>
  </si>
  <si>
    <t>Gastos Operativos</t>
  </si>
  <si>
    <t>Gastos Administración</t>
  </si>
  <si>
    <t>Gastos de Ventas</t>
  </si>
  <si>
    <t>Gastos Financieros</t>
  </si>
  <si>
    <t>Otros Gastos</t>
  </si>
  <si>
    <t>1.1.1</t>
  </si>
  <si>
    <t>1.1.2</t>
  </si>
  <si>
    <t>1.1.3</t>
  </si>
  <si>
    <t>1.1.3.1</t>
  </si>
  <si>
    <t>1.1.3.2</t>
  </si>
  <si>
    <t>1.1.3.3</t>
  </si>
  <si>
    <t>1.1.4</t>
  </si>
  <si>
    <t>1.1.4.1</t>
  </si>
  <si>
    <t>1.1.4.2</t>
  </si>
  <si>
    <t>1.1.4.3</t>
  </si>
  <si>
    <t>1.1.4.4</t>
  </si>
  <si>
    <t>1.1.5</t>
  </si>
  <si>
    <t>1.2.1</t>
  </si>
  <si>
    <t>1.2.1.1</t>
  </si>
  <si>
    <t>1.2.1.2</t>
  </si>
  <si>
    <t>1.2.1.3</t>
  </si>
  <si>
    <t>1.2.1.4</t>
  </si>
  <si>
    <t>1.2.1.5</t>
  </si>
  <si>
    <t>1.2.2</t>
  </si>
  <si>
    <t>1.2.2.1</t>
  </si>
  <si>
    <t>1.2.2.2</t>
  </si>
  <si>
    <t>2.1.1</t>
  </si>
  <si>
    <t>2.1.2</t>
  </si>
  <si>
    <t>2.2.1</t>
  </si>
  <si>
    <t>2.2.2</t>
  </si>
  <si>
    <t>4.1.1</t>
  </si>
  <si>
    <t>4.1.2</t>
  </si>
  <si>
    <t>4.1.3</t>
  </si>
  <si>
    <t>4.2.1</t>
  </si>
  <si>
    <t>Estimacion de cuentas incobrables</t>
  </si>
  <si>
    <t>Efectivo y equivalentes al efectivo</t>
  </si>
  <si>
    <t>1.1.1.1</t>
  </si>
  <si>
    <t>1.1.1.2</t>
  </si>
  <si>
    <t>1.1.1.3</t>
  </si>
  <si>
    <t>1.1.2.1</t>
  </si>
  <si>
    <t>Cuentas y documentos por cobrar</t>
  </si>
  <si>
    <t>1.1.2.2</t>
  </si>
  <si>
    <t>1.1.2.3</t>
  </si>
  <si>
    <t>1.1.2.4</t>
  </si>
  <si>
    <t>1.1.2.5</t>
  </si>
  <si>
    <t>1.1.2.6</t>
  </si>
  <si>
    <t>1.1.2.7</t>
  </si>
  <si>
    <t>1.1.2.8</t>
  </si>
  <si>
    <t>Deudores varios</t>
  </si>
  <si>
    <t>Funcionarios y empleados</t>
  </si>
  <si>
    <t>Documentos por cobrar</t>
  </si>
  <si>
    <t>Rentas por cobrar</t>
  </si>
  <si>
    <t>Intereses por cobrar</t>
  </si>
  <si>
    <t>Cuentas por cobrar partes relacionadas</t>
  </si>
  <si>
    <t>Inventario de productos terminados</t>
  </si>
  <si>
    <t>Inventario de productos en proceso</t>
  </si>
  <si>
    <t>Inventario de materia prima</t>
  </si>
  <si>
    <t>1.1.4.5</t>
  </si>
  <si>
    <t>1.1.4.6</t>
  </si>
  <si>
    <t>1.1.4.7</t>
  </si>
  <si>
    <t>1.1.4.8</t>
  </si>
  <si>
    <t>1.1.4.9</t>
  </si>
  <si>
    <t>Papeleria y utiles</t>
  </si>
  <si>
    <t>Intereses pagados por anticipado</t>
  </si>
  <si>
    <t>Publicidad pagada por anticipado</t>
  </si>
  <si>
    <t>Material de aseo y cocina</t>
  </si>
  <si>
    <t>Suscripciones pagadas por anticipado</t>
  </si>
  <si>
    <t>Anticipo a proveedores</t>
  </si>
  <si>
    <t>Impuestos pagados por anticipado</t>
  </si>
  <si>
    <t>1.1.5.1</t>
  </si>
  <si>
    <t>1.1.5.2</t>
  </si>
  <si>
    <t>1.1.5.3</t>
  </si>
  <si>
    <t>Inversiones</t>
  </si>
  <si>
    <t>Inversiones temporales(menor a 1 año)</t>
  </si>
  <si>
    <t>Inversiones en acciones(menor a 1 año)</t>
  </si>
  <si>
    <t>Certificados de depositos a plazo(menor a 1 año)</t>
  </si>
  <si>
    <t>1.2.1.6</t>
  </si>
  <si>
    <t>1.2.1.7</t>
  </si>
  <si>
    <t>1.2.1.8</t>
  </si>
  <si>
    <t>1.2.1.9</t>
  </si>
  <si>
    <t>1.2.1.10</t>
  </si>
  <si>
    <t>1.2.1.11</t>
  </si>
  <si>
    <t>1.2.1.12</t>
  </si>
  <si>
    <t>1.2.1.13</t>
  </si>
  <si>
    <t>1.2.1.14</t>
  </si>
  <si>
    <t>1.2.1.15</t>
  </si>
  <si>
    <t>1.2.1.16</t>
  </si>
  <si>
    <t>1.2.1.17</t>
  </si>
  <si>
    <t>Maquinaria y equipo</t>
  </si>
  <si>
    <t>Vehiculos</t>
  </si>
  <si>
    <t>Equipo de reparto</t>
  </si>
  <si>
    <t>Equipo de transporte</t>
  </si>
  <si>
    <t>Herramientas</t>
  </si>
  <si>
    <t>Equipo de computo</t>
  </si>
  <si>
    <t>Depreciación Acumulada de Vehiculos</t>
  </si>
  <si>
    <t>Depreciación Acumulada de Maquinaria y Equipo</t>
  </si>
  <si>
    <t>Depreciación Acumulada de Equipo de reparto</t>
  </si>
  <si>
    <t>Depreciación Acumulada de Equipo de transporte</t>
  </si>
  <si>
    <t>Depreciación Acumulada de Herramientas</t>
  </si>
  <si>
    <t>Depreciación Acumulada de Equipo de computo</t>
  </si>
  <si>
    <t>Propiedad de inversion</t>
  </si>
  <si>
    <t>Propiedad de inversion Edificios</t>
  </si>
  <si>
    <t>Propiedad de inversion Terrenos</t>
  </si>
  <si>
    <t>1.2.3</t>
  </si>
  <si>
    <t>Marcas</t>
  </si>
  <si>
    <t>Derechos de autor</t>
  </si>
  <si>
    <t>Franquicias</t>
  </si>
  <si>
    <t>Licencias y concesiones</t>
  </si>
  <si>
    <t>Software informatico</t>
  </si>
  <si>
    <t>1.2.3.1</t>
  </si>
  <si>
    <t>1.2.3.2</t>
  </si>
  <si>
    <t>1.2.3.3</t>
  </si>
  <si>
    <t>1.2.3.4</t>
  </si>
  <si>
    <t>1.2.3.5</t>
  </si>
  <si>
    <t>1.2.3.6</t>
  </si>
  <si>
    <t>1.2.3.7</t>
  </si>
  <si>
    <t>Acreedores y otras cuentas por pagar</t>
  </si>
  <si>
    <t>2.1.1.1</t>
  </si>
  <si>
    <t>2.1.1.2</t>
  </si>
  <si>
    <t>2.1.1.3</t>
  </si>
  <si>
    <t>2.1.1.4</t>
  </si>
  <si>
    <t>2.1.1.5</t>
  </si>
  <si>
    <t>Sueldos por pagar</t>
  </si>
  <si>
    <t>Servicios publicos por pagar</t>
  </si>
  <si>
    <t>Proviciones por pagar</t>
  </si>
  <si>
    <t>Prestamos por pagar</t>
  </si>
  <si>
    <t>2.1.1.6</t>
  </si>
  <si>
    <t>2.1.1.7</t>
  </si>
  <si>
    <t>2.1.1.8</t>
  </si>
  <si>
    <t>Valores cobrados por anticipado</t>
  </si>
  <si>
    <t>2.1.2.1</t>
  </si>
  <si>
    <t>2.1.2.2</t>
  </si>
  <si>
    <t>2.1.2.3</t>
  </si>
  <si>
    <t>Rentas cobradas por anticipado</t>
  </si>
  <si>
    <t>Servicios cobrados por anticipado</t>
  </si>
  <si>
    <t>Anticipo de clientes</t>
  </si>
  <si>
    <t>Beneficios por pagar a empleados</t>
  </si>
  <si>
    <t>2.2.3</t>
  </si>
  <si>
    <t>1.1.</t>
  </si>
  <si>
    <t>6.4.</t>
  </si>
  <si>
    <t>6.3.</t>
  </si>
  <si>
    <t>6.2.</t>
  </si>
  <si>
    <t>6.1.</t>
  </si>
  <si>
    <t>5.4.</t>
  </si>
  <si>
    <t>5.3.</t>
  </si>
  <si>
    <t>5.2.</t>
  </si>
  <si>
    <t>5.1.</t>
  </si>
  <si>
    <t>4.2.1.</t>
  </si>
  <si>
    <t>4.2.</t>
  </si>
  <si>
    <t>4.1.3.</t>
  </si>
  <si>
    <t>4.1.2.</t>
  </si>
  <si>
    <t>4.1.1.</t>
  </si>
  <si>
    <t>4.1.</t>
  </si>
  <si>
    <t>3.4.</t>
  </si>
  <si>
    <t>3.3.</t>
  </si>
  <si>
    <t>3.2.</t>
  </si>
  <si>
    <t>3.1.</t>
  </si>
  <si>
    <t>2.2.3.</t>
  </si>
  <si>
    <t>2.2.2.</t>
  </si>
  <si>
    <t>2.2.1.</t>
  </si>
  <si>
    <t>2.2.</t>
  </si>
  <si>
    <t>2.1.2.3.</t>
  </si>
  <si>
    <t>2.1.2.2.</t>
  </si>
  <si>
    <t>2.1.2.1.</t>
  </si>
  <si>
    <t>2.1.2.</t>
  </si>
  <si>
    <t>2.1.1.8.</t>
  </si>
  <si>
    <t>2.1.1.7.</t>
  </si>
  <si>
    <t>2.1.1.6.</t>
  </si>
  <si>
    <t>1.1.1.</t>
  </si>
  <si>
    <t>1.1.1.1.</t>
  </si>
  <si>
    <t>1.1.1.2.</t>
  </si>
  <si>
    <t>1.1.1.3.</t>
  </si>
  <si>
    <t>1.1.2.</t>
  </si>
  <si>
    <t>1.1.2.1.</t>
  </si>
  <si>
    <t>1.1.2.2.</t>
  </si>
  <si>
    <t>1.1.2.3.</t>
  </si>
  <si>
    <t>1.1.2.4.</t>
  </si>
  <si>
    <t>1.1.2.5.</t>
  </si>
  <si>
    <t>1.1.2.6.</t>
  </si>
  <si>
    <t>1.1.2.7.</t>
  </si>
  <si>
    <t>1.1.2.8.</t>
  </si>
  <si>
    <t>1.1.3.</t>
  </si>
  <si>
    <t>1.1.3.1.</t>
  </si>
  <si>
    <t>1.1.3.2.</t>
  </si>
  <si>
    <t>1.1.3.3.</t>
  </si>
  <si>
    <t>1.1.4.</t>
  </si>
  <si>
    <t>1.1.4.1.</t>
  </si>
  <si>
    <t>1.1.4.2.</t>
  </si>
  <si>
    <t>1.1.4.3.</t>
  </si>
  <si>
    <t>1.1.4.4.</t>
  </si>
  <si>
    <t>1.1.4.5.</t>
  </si>
  <si>
    <t>1.1.4.6.</t>
  </si>
  <si>
    <t>1.1.4.7.</t>
  </si>
  <si>
    <t>1.1.4.8.</t>
  </si>
  <si>
    <t>1.1.4.9.</t>
  </si>
  <si>
    <t>1.1.5.</t>
  </si>
  <si>
    <t>1.1.5.1.</t>
  </si>
  <si>
    <t>1.1.5.2.</t>
  </si>
  <si>
    <t>1.1.5.3.</t>
  </si>
  <si>
    <t>1.2.</t>
  </si>
  <si>
    <t>1.2.1.</t>
  </si>
  <si>
    <t>1.2.1.1.</t>
  </si>
  <si>
    <t>1.2.1.2.</t>
  </si>
  <si>
    <t>1.2.1.3.</t>
  </si>
  <si>
    <t>1.2.1.4.</t>
  </si>
  <si>
    <t>1.2.1.5.</t>
  </si>
  <si>
    <t>1.2.1.6.</t>
  </si>
  <si>
    <t>2.1.1.5.</t>
  </si>
  <si>
    <t>2.1.1.4.</t>
  </si>
  <si>
    <t>2.1.1.3.</t>
  </si>
  <si>
    <t>2.1.1.2.</t>
  </si>
  <si>
    <t>2.1.1.1.</t>
  </si>
  <si>
    <t>2.1.1.</t>
  </si>
  <si>
    <t>2.1.</t>
  </si>
  <si>
    <t>1.2.3.7.</t>
  </si>
  <si>
    <t>1.2.3.6.</t>
  </si>
  <si>
    <t>1.2.3.5.</t>
  </si>
  <si>
    <t>1.2.3.4.</t>
  </si>
  <si>
    <t>1.2.3.3.</t>
  </si>
  <si>
    <t>1.2.3.2.</t>
  </si>
  <si>
    <t>1.2.3.1.</t>
  </si>
  <si>
    <t>1.2.3.</t>
  </si>
  <si>
    <t>1.2.2.2.</t>
  </si>
  <si>
    <t>1.2.2.1.</t>
  </si>
  <si>
    <t>1.2.2.</t>
  </si>
  <si>
    <t>1.2.1.17.</t>
  </si>
  <si>
    <t>1.2.1.16.</t>
  </si>
  <si>
    <t>1.2.1.15.</t>
  </si>
  <si>
    <t>1.2.1.14.</t>
  </si>
  <si>
    <t>1.2.1.13.</t>
  </si>
  <si>
    <t>1.2.1.12.</t>
  </si>
  <si>
    <t>1.2.1.11.</t>
  </si>
  <si>
    <t>1.2.1.10.</t>
  </si>
  <si>
    <t>1.2.1.9.</t>
  </si>
  <si>
    <t>1.2.1.8.</t>
  </si>
  <si>
    <t>1.2.1.7.</t>
  </si>
  <si>
    <t>BALANCE DE RESULTADO</t>
  </si>
  <si>
    <t>AL</t>
  </si>
  <si>
    <t>TOTAL INGRESOS</t>
  </si>
  <si>
    <t>TOTAL EGRESOS</t>
  </si>
  <si>
    <t>UTILIDAD O PERDIDA DEL EJERCICIO</t>
  </si>
  <si>
    <t>SUMAS IGUALES</t>
  </si>
  <si>
    <t>BALANCE GENERAL</t>
  </si>
  <si>
    <t>TOTAL ACTIVOS</t>
  </si>
  <si>
    <t>TOTAL PASIVOS + CAPITAL</t>
  </si>
  <si>
    <t>RESULTADO DEL EJERCICIO</t>
  </si>
  <si>
    <t>SELECCIONE EL CODIGO DE CUENTA</t>
  </si>
  <si>
    <t>PARA PRESENTAR EL LIBRO MAYOR</t>
  </si>
  <si>
    <t>COMPROBANTE DE EGRESOS</t>
  </si>
  <si>
    <t>CEG N#</t>
  </si>
  <si>
    <t>BENEFICIARIO:</t>
  </si>
  <si>
    <t>CUENTA N#</t>
  </si>
  <si>
    <t>CHEQUE N#</t>
  </si>
  <si>
    <t>APERTURA</t>
  </si>
  <si>
    <t>DEPOSITO AL BANCO</t>
  </si>
  <si>
    <t>PAGO POR COMPRA DE 9 QUINTALES DE ARROZ A 800 CADA UNO</t>
  </si>
  <si>
    <t>30-02-12</t>
  </si>
  <si>
    <t>PAGO POR BOLETO AEREO PARA EL GERENTE GENERAL</t>
  </si>
  <si>
    <t>VENTA DE 4 QUINTALES DE ARROZ A 1500 CADA UNO</t>
  </si>
  <si>
    <t>SACAMOS UN PRESTAMO EN EL BANCO POR EL VALOR DE 200000</t>
  </si>
  <si>
    <t>COMPRAMOS UN VEHICULO PARA QUE EL GERENTE LO PRESUMA POR 500000 CON CHEQUE DEL BANCO</t>
  </si>
  <si>
    <t>vendemos mercaderia, el ciente nos adeuda el valor a su cuenta por 10000</t>
  </si>
  <si>
    <t>UNAH</t>
  </si>
  <si>
    <t>IS-721</t>
  </si>
  <si>
    <t>CONTABILIDAD</t>
  </si>
  <si>
    <t>ALUMNA:</t>
  </si>
  <si>
    <t>TIFFANY MONIQUE MATAMOROS</t>
  </si>
  <si>
    <t>LIC. RAMON CALIX</t>
  </si>
  <si>
    <t>SISTEMA</t>
  </si>
  <si>
    <t>CONTABLE</t>
  </si>
  <si>
    <r>
      <rPr>
        <sz val="12"/>
        <color theme="1"/>
        <rFont val="Calibri"/>
        <family val="2"/>
        <scheme val="minor"/>
      </rPr>
      <t>Esta hoja mayor no muestra todas las cuentas, es para acceder a cuenta por cuenta desde el menu con el boton</t>
    </r>
    <r>
      <rPr>
        <sz val="12"/>
        <color theme="4"/>
        <rFont val="Calibri"/>
        <family val="2"/>
        <scheme val="minor"/>
      </rPr>
      <t>"PRESENTAR MAYOR"</t>
    </r>
  </si>
  <si>
    <t>Tiffany</t>
  </si>
  <si>
    <t>NOMBRE DE LA EMPRESA: Sopas Catrachas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</si>
</sst>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[$-F800]dddd\,\ mmmm\ dd\,\ 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b/>
      <i/>
      <sz val="12"/>
      <color theme="4" tint="-0.499984740745262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gradientFill degree="45">
        <stop position="0">
          <color theme="0"/>
        </stop>
        <stop position="1">
          <color theme="4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rgb="FFFFFF00"/>
      </left>
      <right/>
      <top style="double">
        <color rgb="FFFFFF00"/>
      </top>
      <bottom/>
      <diagonal/>
    </border>
    <border>
      <left/>
      <right style="double">
        <color rgb="FFFFFF00"/>
      </right>
      <top style="double">
        <color rgb="FFFFFF00"/>
      </top>
      <bottom/>
      <diagonal/>
    </border>
    <border>
      <left style="double">
        <color rgb="FFFFFF00"/>
      </left>
      <right/>
      <top/>
      <bottom style="double">
        <color rgb="FFFFFF00"/>
      </bottom>
      <diagonal/>
    </border>
    <border>
      <left/>
      <right style="double">
        <color rgb="FFFFFF00"/>
      </right>
      <top/>
      <bottom style="double">
        <color rgb="FFFFFF00"/>
      </bottom>
      <diagonal/>
    </border>
    <border>
      <left/>
      <right/>
      <top style="double">
        <color rgb="FFFFFF00"/>
      </top>
      <bottom/>
      <diagonal/>
    </border>
    <border>
      <left style="double">
        <color rgb="FFFFFF00"/>
      </left>
      <right/>
      <top/>
      <bottom/>
      <diagonal/>
    </border>
    <border>
      <left/>
      <right style="double">
        <color rgb="FFFFFF00"/>
      </right>
      <top/>
      <bottom/>
      <diagonal/>
    </border>
    <border>
      <left/>
      <right/>
      <top/>
      <bottom style="double">
        <color rgb="FFFFFF00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2" fillId="3" borderId="1" xfId="0" applyFont="1" applyFill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8" xfId="0" applyFill="1" applyBorder="1"/>
    <xf numFmtId="0" fontId="2" fillId="3" borderId="0" xfId="0" applyFont="1" applyFill="1"/>
    <xf numFmtId="0" fontId="2" fillId="3" borderId="0" xfId="0" applyFont="1" applyFill="1" applyAlignment="1">
      <alignment horizontal="right"/>
    </xf>
    <xf numFmtId="164" fontId="0" fillId="3" borderId="0" xfId="1" applyFont="1" applyFill="1"/>
    <xf numFmtId="0" fontId="4" fillId="3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0" fontId="2" fillId="0" borderId="21" xfId="0" applyFont="1" applyBorder="1"/>
    <xf numFmtId="164" fontId="2" fillId="0" borderId="0" xfId="1" applyFont="1"/>
    <xf numFmtId="0" fontId="2" fillId="3" borderId="12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2" fillId="0" borderId="1" xfId="0" applyFont="1" applyBorder="1" applyAlignment="1">
      <alignment horizontal="right"/>
    </xf>
    <xf numFmtId="164" fontId="0" fillId="0" borderId="1" xfId="1" applyFont="1" applyBorder="1"/>
    <xf numFmtId="164" fontId="0" fillId="0" borderId="25" xfId="1" applyFont="1" applyBorder="1"/>
    <xf numFmtId="0" fontId="0" fillId="0" borderId="0" xfId="0" applyAlignment="1">
      <alignment horizontal="left"/>
    </xf>
    <xf numFmtId="0" fontId="0" fillId="6" borderId="0" xfId="0" applyFill="1" applyAlignment="1">
      <alignment horizontal="left"/>
    </xf>
    <xf numFmtId="0" fontId="0" fillId="0" borderId="1" xfId="0" applyBorder="1" applyAlignment="1">
      <alignment horizontal="left"/>
    </xf>
    <xf numFmtId="14" fontId="2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164" fontId="0" fillId="0" borderId="0" xfId="1" applyFont="1"/>
    <xf numFmtId="164" fontId="0" fillId="0" borderId="24" xfId="1" applyFont="1" applyBorder="1"/>
    <xf numFmtId="0" fontId="0" fillId="0" borderId="0" xfId="0" applyFont="1"/>
    <xf numFmtId="164" fontId="0" fillId="0" borderId="0" xfId="0" applyNumberFormat="1"/>
    <xf numFmtId="0" fontId="0" fillId="7" borderId="0" xfId="0" applyFill="1"/>
    <xf numFmtId="0" fontId="0" fillId="8" borderId="0" xfId="0" applyFill="1"/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0" fillId="3" borderId="14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5" fillId="0" borderId="0" xfId="0" applyFont="1" applyAlignment="1">
      <alignment horizontal="center"/>
    </xf>
    <xf numFmtId="0" fontId="0" fillId="0" borderId="0" xfId="0" applyAlignment="1"/>
    <xf numFmtId="0" fontId="0" fillId="0" borderId="14" xfId="0" applyBorder="1" applyAlignment="1"/>
    <xf numFmtId="0" fontId="0" fillId="0" borderId="16" xfId="0" applyBorder="1" applyAlignment="1"/>
    <xf numFmtId="0" fontId="0" fillId="0" borderId="17" xfId="0" applyBorder="1" applyAlignment="1"/>
    <xf numFmtId="0" fontId="0" fillId="0" borderId="20" xfId="0" applyBorder="1" applyAlignment="1"/>
    <xf numFmtId="0" fontId="2" fillId="0" borderId="0" xfId="0" applyFont="1" applyAlignment="1"/>
    <xf numFmtId="0" fontId="5" fillId="0" borderId="20" xfId="0" applyFont="1" applyBorder="1" applyAlignment="1">
      <alignment horizontal="right"/>
    </xf>
    <xf numFmtId="0" fontId="5" fillId="0" borderId="18" xfId="0" applyFont="1" applyBorder="1" applyAlignment="1">
      <alignment horizontal="left"/>
    </xf>
    <xf numFmtId="0" fontId="2" fillId="0" borderId="23" xfId="0" applyFont="1" applyBorder="1" applyAlignment="1">
      <alignment horizontal="right"/>
    </xf>
    <xf numFmtId="165" fontId="2" fillId="0" borderId="22" xfId="0" applyNumberFormat="1" applyFont="1" applyBorder="1" applyAlignment="1">
      <alignment horizontal="left"/>
    </xf>
    <xf numFmtId="0" fontId="2" fillId="0" borderId="1" xfId="0" applyFont="1" applyBorder="1"/>
    <xf numFmtId="14" fontId="0" fillId="3" borderId="1" xfId="0" applyNumberFormat="1" applyFill="1" applyBorder="1" applyProtection="1">
      <protection locked="0"/>
    </xf>
    <xf numFmtId="0" fontId="0" fillId="0" borderId="0" xfId="0" applyFill="1"/>
    <xf numFmtId="0" fontId="0" fillId="10" borderId="0" xfId="0" applyFill="1"/>
    <xf numFmtId="0" fontId="11" fillId="11" borderId="0" xfId="0" applyFont="1" applyFill="1"/>
    <xf numFmtId="0" fontId="12" fillId="13" borderId="26" xfId="0" applyFont="1" applyFill="1" applyBorder="1" applyAlignment="1">
      <alignment horizontal="center"/>
    </xf>
    <xf numFmtId="0" fontId="12" fillId="13" borderId="27" xfId="0" applyFont="1" applyFill="1" applyBorder="1" applyAlignment="1">
      <alignment horizontal="center"/>
    </xf>
    <xf numFmtId="0" fontId="2" fillId="14" borderId="26" xfId="0" applyFont="1" applyFill="1" applyBorder="1" applyAlignment="1">
      <alignment horizontal="left"/>
    </xf>
    <xf numFmtId="0" fontId="2" fillId="14" borderId="27" xfId="0" applyFont="1" applyFill="1" applyBorder="1"/>
    <xf numFmtId="0" fontId="0" fillId="0" borderId="26" xfId="0" applyFont="1" applyBorder="1" applyAlignment="1">
      <alignment horizontal="left"/>
    </xf>
    <xf numFmtId="0" fontId="0" fillId="0" borderId="27" xfId="0" applyFont="1" applyBorder="1"/>
    <xf numFmtId="0" fontId="0" fillId="14" borderId="26" xfId="0" applyFont="1" applyFill="1" applyBorder="1" applyAlignment="1">
      <alignment horizontal="left"/>
    </xf>
    <xf numFmtId="0" fontId="0" fillId="14" borderId="27" xfId="0" applyFont="1" applyFill="1" applyBorder="1" applyAlignment="1">
      <alignment horizontal="left"/>
    </xf>
    <xf numFmtId="0" fontId="0" fillId="14" borderId="27" xfId="0" applyFont="1" applyFill="1" applyBorder="1"/>
    <xf numFmtId="0" fontId="2" fillId="0" borderId="26" xfId="0" applyFont="1" applyBorder="1" applyAlignment="1">
      <alignment horizontal="left"/>
    </xf>
    <xf numFmtId="0" fontId="2" fillId="0" borderId="27" xfId="0" applyFont="1" applyBorder="1"/>
    <xf numFmtId="0" fontId="0" fillId="9" borderId="0" xfId="0" applyFill="1"/>
    <xf numFmtId="0" fontId="0" fillId="15" borderId="0" xfId="0" applyFill="1"/>
    <xf numFmtId="0" fontId="0" fillId="16" borderId="0" xfId="0" applyFill="1"/>
    <xf numFmtId="0" fontId="20" fillId="17" borderId="12" xfId="0" applyFont="1" applyFill="1" applyBorder="1" applyProtection="1">
      <protection locked="0"/>
    </xf>
    <xf numFmtId="0" fontId="3" fillId="17" borderId="12" xfId="0" applyFont="1" applyFill="1" applyBorder="1" applyAlignment="1">
      <alignment wrapText="1"/>
    </xf>
    <xf numFmtId="0" fontId="3" fillId="17" borderId="12" xfId="0" applyFont="1" applyFill="1" applyBorder="1" applyProtection="1">
      <protection locked="0"/>
    </xf>
    <xf numFmtId="0" fontId="2" fillId="0" borderId="0" xfId="0" applyFont="1" applyAlignment="1">
      <alignment horizontal="left"/>
    </xf>
    <xf numFmtId="0" fontId="0" fillId="18" borderId="0" xfId="0" applyFill="1"/>
    <xf numFmtId="0" fontId="10" fillId="9" borderId="0" xfId="0" applyFont="1" applyFill="1" applyAlignment="1">
      <alignment horizontal="left"/>
    </xf>
    <xf numFmtId="0" fontId="9" fillId="9" borderId="0" xfId="0" applyFont="1" applyFill="1" applyAlignment="1">
      <alignment horizontal="left"/>
    </xf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" fillId="10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0" fontId="18" fillId="10" borderId="0" xfId="0" applyFont="1" applyFill="1" applyBorder="1" applyAlignment="1">
      <alignment horizontal="center"/>
    </xf>
    <xf numFmtId="0" fontId="16" fillId="10" borderId="0" xfId="0" applyFont="1" applyFill="1" applyBorder="1" applyAlignment="1">
      <alignment horizontal="center"/>
    </xf>
    <xf numFmtId="0" fontId="19" fillId="10" borderId="0" xfId="0" applyFont="1" applyFill="1" applyBorder="1" applyAlignment="1">
      <alignment horizontal="center"/>
    </xf>
    <xf numFmtId="0" fontId="17" fillId="10" borderId="0" xfId="0" applyFont="1" applyFill="1" applyBorder="1" applyAlignment="1">
      <alignment horizontal="center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13" xfId="0" applyFill="1" applyBorder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center"/>
      <protection locked="0"/>
    </xf>
    <xf numFmtId="0" fontId="0" fillId="3" borderId="15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center"/>
      <protection locked="0"/>
    </xf>
    <xf numFmtId="0" fontId="0" fillId="3" borderId="17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3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49" fontId="0" fillId="3" borderId="13" xfId="0" applyNumberFormat="1" applyFill="1" applyBorder="1" applyAlignment="1" applyProtection="1">
      <alignment horizontal="center"/>
      <protection locked="0"/>
    </xf>
    <xf numFmtId="49" fontId="0" fillId="3" borderId="14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9" xfId="0" applyFill="1" applyBorder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0" fontId="21" fillId="0" borderId="28" xfId="0" applyFont="1" applyBorder="1" applyAlignment="1">
      <alignment horizontal="center" wrapText="1"/>
    </xf>
    <xf numFmtId="0" fontId="0" fillId="0" borderId="32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13" fillId="8" borderId="0" xfId="0" applyFont="1" applyFill="1" applyAlignment="1">
      <alignment horizontal="center"/>
    </xf>
  </cellXfs>
  <cellStyles count="2">
    <cellStyle name="Millares" xfId="1" builtinId="3"/>
    <cellStyle name="Normal" xfId="0" builtinId="0"/>
  </cellStyles>
  <dxfs count="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26" fmlaLink="$Q$1" fmlaRange="BALANCE!$V$10:$V$113" noThreeD="1" sel="22" val="0"/>
</file>

<file path=xl/ctrlProps/ctrlProp2.xml><?xml version="1.0" encoding="utf-8"?>
<formControlPr xmlns="http://schemas.microsoft.com/office/spreadsheetml/2009/9/main" objectType="List" dx="26" fmlaLink="$Q$1" fmlaRange="BALANCE!$V$10:$V$113" noThreeD="1" sel="0" val="81"/>
</file>

<file path=xl/ctrlProps/ctrlProp3.xml><?xml version="1.0" encoding="utf-8"?>
<formControlPr xmlns="http://schemas.microsoft.com/office/spreadsheetml/2009/9/main" objectType="List" dx="26" fmlaLink="$Q$1" fmlaRange="BALANCE!$V$10:$V$113" noThreeD="1" sel="17" val="4"/>
</file>

<file path=xl/ctrlProps/ctrlProp4.xml><?xml version="1.0" encoding="utf-8"?>
<formControlPr xmlns="http://schemas.microsoft.com/office/spreadsheetml/2009/9/main" objectType="List" dx="26" fmlaLink="$Q$1" fmlaRange="BALANCE!$V$10:$V$113" noThreeD="1" sel="0" val="86"/>
</file>

<file path=xl/ctrlProps/ctrlProp5.xml><?xml version="1.0" encoding="utf-8"?>
<formControlPr xmlns="http://schemas.microsoft.com/office/spreadsheetml/2009/9/main" objectType="List" dx="26" fmlaLink="$Q$1" fmlaRange="BALANCE!$V$10:$V$113" noThreeD="1" sel="0" val="88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4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4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13</xdr:row>
      <xdr:rowOff>144780</xdr:rowOff>
    </xdr:from>
    <xdr:to>
      <xdr:col>2</xdr:col>
      <xdr:colOff>638175</xdr:colOff>
      <xdr:row>15</xdr:row>
      <xdr:rowOff>85725</xdr:rowOff>
    </xdr:to>
    <xdr:sp macro="[0]!IRAD" textlink="">
      <xdr:nvSpPr>
        <xdr:cNvPr id="2" name="Rectángul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752475" y="2697480"/>
          <a:ext cx="1409700" cy="340995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ASIENTOS</a:t>
          </a:r>
        </a:p>
      </xdr:txBody>
    </xdr:sp>
    <xdr:clientData/>
  </xdr:twoCellAnchor>
  <xdr:twoCellAnchor>
    <xdr:from>
      <xdr:col>1</xdr:col>
      <xdr:colOff>9525</xdr:colOff>
      <xdr:row>24</xdr:row>
      <xdr:rowOff>160020</xdr:rowOff>
    </xdr:from>
    <xdr:to>
      <xdr:col>2</xdr:col>
      <xdr:colOff>628650</xdr:colOff>
      <xdr:row>26</xdr:row>
      <xdr:rowOff>114300</xdr:rowOff>
    </xdr:to>
    <xdr:sp macro="[0]!IRAND" textlink="">
      <xdr:nvSpPr>
        <xdr:cNvPr id="3" name="Rectángulo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771525" y="4789170"/>
          <a:ext cx="1381125" cy="335280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NOTA DE DEBITO</a:t>
          </a:r>
        </a:p>
      </xdr:txBody>
    </xdr:sp>
    <xdr:clientData/>
  </xdr:twoCellAnchor>
  <xdr:twoCellAnchor>
    <xdr:from>
      <xdr:col>1</xdr:col>
      <xdr:colOff>17145</xdr:colOff>
      <xdr:row>22</xdr:row>
      <xdr:rowOff>9525</xdr:rowOff>
    </xdr:from>
    <xdr:to>
      <xdr:col>2</xdr:col>
      <xdr:colOff>657225</xdr:colOff>
      <xdr:row>23</xdr:row>
      <xdr:rowOff>171450</xdr:rowOff>
    </xdr:to>
    <xdr:sp macro="[0]!IRANC" textlink="">
      <xdr:nvSpPr>
        <xdr:cNvPr id="4" name="Rectángulo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779145" y="4295775"/>
          <a:ext cx="1402080" cy="352425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NOTA DE CREDITO</a:t>
          </a:r>
        </a:p>
      </xdr:txBody>
    </xdr:sp>
    <xdr:clientData/>
  </xdr:twoCellAnchor>
  <xdr:twoCellAnchor>
    <xdr:from>
      <xdr:col>1</xdr:col>
      <xdr:colOff>9525</xdr:colOff>
      <xdr:row>19</xdr:row>
      <xdr:rowOff>55246</xdr:rowOff>
    </xdr:from>
    <xdr:to>
      <xdr:col>2</xdr:col>
      <xdr:colOff>628650</xdr:colOff>
      <xdr:row>21</xdr:row>
      <xdr:rowOff>19050</xdr:rowOff>
    </xdr:to>
    <xdr:sp macro="[0]!IRAE" textlink="">
      <xdr:nvSpPr>
        <xdr:cNvPr id="5" name="Rectángul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771525" y="3769996"/>
          <a:ext cx="1381125" cy="344804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EGRESOS</a:t>
          </a:r>
        </a:p>
      </xdr:txBody>
    </xdr:sp>
    <xdr:clientData/>
  </xdr:twoCellAnchor>
  <xdr:twoCellAnchor>
    <xdr:from>
      <xdr:col>0</xdr:col>
      <xdr:colOff>752475</xdr:colOff>
      <xdr:row>16</xdr:row>
      <xdr:rowOff>110491</xdr:rowOff>
    </xdr:from>
    <xdr:to>
      <xdr:col>2</xdr:col>
      <xdr:colOff>647700</xdr:colOff>
      <xdr:row>18</xdr:row>
      <xdr:rowOff>76201</xdr:rowOff>
    </xdr:to>
    <xdr:sp macro="[0]!IRAI" textlink="">
      <xdr:nvSpPr>
        <xdr:cNvPr id="6" name="Rectángulo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752475" y="3253741"/>
          <a:ext cx="1419225" cy="346710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INGRESOS</a:t>
          </a:r>
        </a:p>
      </xdr:txBody>
    </xdr:sp>
    <xdr:clientData/>
  </xdr:twoCellAnchor>
  <xdr:twoCellAnchor>
    <xdr:from>
      <xdr:col>4</xdr:col>
      <xdr:colOff>590549</xdr:colOff>
      <xdr:row>8</xdr:row>
      <xdr:rowOff>127636</xdr:rowOff>
    </xdr:from>
    <xdr:to>
      <xdr:col>6</xdr:col>
      <xdr:colOff>550544</xdr:colOff>
      <xdr:row>10</xdr:row>
      <xdr:rowOff>66676</xdr:rowOff>
    </xdr:to>
    <xdr:sp macro="[0]!DEFINIRG" textlink="">
      <xdr:nvSpPr>
        <xdr:cNvPr id="7" name="Rectángulo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3638549" y="1699261"/>
          <a:ext cx="2093595" cy="320040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BALANCE GENERAL</a:t>
          </a:r>
        </a:p>
      </xdr:txBody>
    </xdr:sp>
    <xdr:clientData/>
  </xdr:twoCellAnchor>
  <xdr:twoCellAnchor>
    <xdr:from>
      <xdr:col>4</xdr:col>
      <xdr:colOff>600075</xdr:colOff>
      <xdr:row>6</xdr:row>
      <xdr:rowOff>0</xdr:rowOff>
    </xdr:from>
    <xdr:to>
      <xdr:col>6</xdr:col>
      <xdr:colOff>563880</xdr:colOff>
      <xdr:row>7</xdr:row>
      <xdr:rowOff>104775</xdr:rowOff>
    </xdr:to>
    <xdr:sp macro="[0]!DEFINIRB" textlink="">
      <xdr:nvSpPr>
        <xdr:cNvPr id="8" name="Rectángulo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3648075" y="1190625"/>
          <a:ext cx="2097405" cy="295275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BALANCE DE COMPROBACION</a:t>
          </a:r>
        </a:p>
      </xdr:txBody>
    </xdr:sp>
    <xdr:clientData/>
  </xdr:twoCellAnchor>
  <xdr:twoCellAnchor>
    <xdr:from>
      <xdr:col>7</xdr:col>
      <xdr:colOff>28575</xdr:colOff>
      <xdr:row>6</xdr:row>
      <xdr:rowOff>5716</xdr:rowOff>
    </xdr:from>
    <xdr:to>
      <xdr:col>9</xdr:col>
      <xdr:colOff>600075</xdr:colOff>
      <xdr:row>7</xdr:row>
      <xdr:rowOff>123825</xdr:rowOff>
    </xdr:to>
    <xdr:sp macro="[0]!DEFINIRR" textlink="">
      <xdr:nvSpPr>
        <xdr:cNvPr id="9" name="Rectángulo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972175" y="1196341"/>
          <a:ext cx="2095500" cy="308609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BALANCE DE RESULTADO</a:t>
          </a:r>
        </a:p>
      </xdr:txBody>
    </xdr:sp>
    <xdr:clientData/>
  </xdr:twoCellAnchor>
  <xdr:twoCellAnchor>
    <xdr:from>
      <xdr:col>7</xdr:col>
      <xdr:colOff>9525</xdr:colOff>
      <xdr:row>8</xdr:row>
      <xdr:rowOff>148591</xdr:rowOff>
    </xdr:from>
    <xdr:to>
      <xdr:col>9</xdr:col>
      <xdr:colOff>607695</xdr:colOff>
      <xdr:row>10</xdr:row>
      <xdr:rowOff>66675</xdr:rowOff>
    </xdr:to>
    <xdr:sp macro="[0]!DEFINIRD" textlink="">
      <xdr:nvSpPr>
        <xdr:cNvPr id="10" name="Rectángulo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5953125" y="1720216"/>
          <a:ext cx="2122170" cy="299084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LIBRO DIARIO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14</xdr:row>
          <xdr:rowOff>171450</xdr:rowOff>
        </xdr:from>
        <xdr:to>
          <xdr:col>9</xdr:col>
          <xdr:colOff>723900</xdr:colOff>
          <xdr:row>17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609600</xdr:colOff>
      <xdr:row>14</xdr:row>
      <xdr:rowOff>9525</xdr:rowOff>
    </xdr:from>
    <xdr:to>
      <xdr:col>12</xdr:col>
      <xdr:colOff>621029</xdr:colOff>
      <xdr:row>16</xdr:row>
      <xdr:rowOff>9525</xdr:rowOff>
    </xdr:to>
    <xdr:sp macro="[0]!IRADIARIO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839200" y="2724150"/>
          <a:ext cx="1535429" cy="381000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HOJA DIARIO</a:t>
          </a:r>
        </a:p>
      </xdr:txBody>
    </xdr:sp>
    <xdr:clientData/>
  </xdr:twoCellAnchor>
  <xdr:twoCellAnchor>
    <xdr:from>
      <xdr:col>10</xdr:col>
      <xdr:colOff>590550</xdr:colOff>
      <xdr:row>17</xdr:row>
      <xdr:rowOff>22860</xdr:rowOff>
    </xdr:from>
    <xdr:to>
      <xdr:col>12</xdr:col>
      <xdr:colOff>571499</xdr:colOff>
      <xdr:row>18</xdr:row>
      <xdr:rowOff>180975</xdr:rowOff>
    </xdr:to>
    <xdr:sp macro="[0]!IRAMAYOR" textlink="">
      <xdr:nvSpPr>
        <xdr:cNvPr id="14" name="Rectángulo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8820150" y="3308985"/>
          <a:ext cx="1504949" cy="348615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HOJA MAYOR</a:t>
          </a:r>
        </a:p>
      </xdr:txBody>
    </xdr:sp>
    <xdr:clientData/>
  </xdr:twoCellAnchor>
  <xdr:twoCellAnchor>
    <xdr:from>
      <xdr:col>10</xdr:col>
      <xdr:colOff>628650</xdr:colOff>
      <xdr:row>25</xdr:row>
      <xdr:rowOff>102869</xdr:rowOff>
    </xdr:from>
    <xdr:to>
      <xdr:col>12</xdr:col>
      <xdr:colOff>581025</xdr:colOff>
      <xdr:row>26</xdr:row>
      <xdr:rowOff>371475</xdr:rowOff>
    </xdr:to>
    <xdr:sp macro="[0]!IRARESULTADOS" textlink="">
      <xdr:nvSpPr>
        <xdr:cNvPr id="16" name="Rectángulo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8858250" y="4922519"/>
          <a:ext cx="1476375" cy="459106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ESTADO DE RESULTADO</a:t>
          </a:r>
        </a:p>
      </xdr:txBody>
    </xdr:sp>
    <xdr:clientData/>
  </xdr:twoCellAnchor>
  <xdr:twoCellAnchor>
    <xdr:from>
      <xdr:col>10</xdr:col>
      <xdr:colOff>609600</xdr:colOff>
      <xdr:row>19</xdr:row>
      <xdr:rowOff>114301</xdr:rowOff>
    </xdr:from>
    <xdr:to>
      <xdr:col>12</xdr:col>
      <xdr:colOff>579120</xdr:colOff>
      <xdr:row>22</xdr:row>
      <xdr:rowOff>19051</xdr:rowOff>
    </xdr:to>
    <xdr:sp macro="[0]!IRABALANC" textlink="">
      <xdr:nvSpPr>
        <xdr:cNvPr id="17" name="Rectángulo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8839200" y="3781426"/>
          <a:ext cx="1493520" cy="476250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BALANCE DE COMPROBACION</a:t>
          </a:r>
        </a:p>
      </xdr:txBody>
    </xdr:sp>
    <xdr:clientData/>
  </xdr:twoCellAnchor>
  <xdr:twoCellAnchor>
    <xdr:from>
      <xdr:col>10</xdr:col>
      <xdr:colOff>638175</xdr:colOff>
      <xdr:row>22</xdr:row>
      <xdr:rowOff>167640</xdr:rowOff>
    </xdr:from>
    <xdr:to>
      <xdr:col>12</xdr:col>
      <xdr:colOff>579120</xdr:colOff>
      <xdr:row>24</xdr:row>
      <xdr:rowOff>142875</xdr:rowOff>
    </xdr:to>
    <xdr:sp macro="[0]!IRAGENERAL" textlink="">
      <xdr:nvSpPr>
        <xdr:cNvPr id="18" name="Rectángulo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8867775" y="4415790"/>
          <a:ext cx="1464945" cy="356235"/>
        </a:xfrm>
        <a:prstGeom prst="rect">
          <a:avLst/>
        </a:prstGeom>
        <a:solidFill>
          <a:schemeClr val="tx1"/>
        </a:solidFill>
        <a:ln>
          <a:solidFill>
            <a:schemeClr val="bg2">
              <a:lumMod val="9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HN" sz="1100" b="1"/>
            <a:t>BALANCE GENERAL</a:t>
          </a:r>
        </a:p>
      </xdr:txBody>
    </xdr:sp>
    <xdr:clientData/>
  </xdr:twoCellAnchor>
  <xdr:twoCellAnchor>
    <xdr:from>
      <xdr:col>1</xdr:col>
      <xdr:colOff>219076</xdr:colOff>
      <xdr:row>11</xdr:row>
      <xdr:rowOff>85725</xdr:rowOff>
    </xdr:from>
    <xdr:to>
      <xdr:col>2</xdr:col>
      <xdr:colOff>504826</xdr:colOff>
      <xdr:row>13</xdr:row>
      <xdr:rowOff>0</xdr:rowOff>
    </xdr:to>
    <xdr:sp macro="" textlink="">
      <xdr:nvSpPr>
        <xdr:cNvPr id="11" name="10 CuadroTexto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981076" y="2143125"/>
          <a:ext cx="1047750" cy="276225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reflection blurRad="6350" stA="52000" endA="300" endPos="350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HN" sz="1100" b="1"/>
            <a:t>CONTABILIZAR</a:t>
          </a:r>
        </a:p>
      </xdr:txBody>
    </xdr:sp>
    <xdr:clientData/>
  </xdr:twoCellAnchor>
  <xdr:twoCellAnchor>
    <xdr:from>
      <xdr:col>6</xdr:col>
      <xdr:colOff>247651</xdr:colOff>
      <xdr:row>3</xdr:row>
      <xdr:rowOff>19050</xdr:rowOff>
    </xdr:from>
    <xdr:to>
      <xdr:col>7</xdr:col>
      <xdr:colOff>533401</xdr:colOff>
      <xdr:row>4</xdr:row>
      <xdr:rowOff>123825</xdr:rowOff>
    </xdr:to>
    <xdr:sp macro="" textlink="">
      <xdr:nvSpPr>
        <xdr:cNvPr id="19" name="18 CuadroTexto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5429251" y="638175"/>
          <a:ext cx="1047750" cy="295275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reflection blurRad="6350" stA="52000" endA="300" endPos="350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HN" sz="1100" b="1"/>
            <a:t>REPORTES</a:t>
          </a:r>
        </a:p>
      </xdr:txBody>
    </xdr:sp>
    <xdr:clientData/>
  </xdr:twoCellAnchor>
  <xdr:twoCellAnchor>
    <xdr:from>
      <xdr:col>10</xdr:col>
      <xdr:colOff>609601</xdr:colOff>
      <xdr:row>11</xdr:row>
      <xdr:rowOff>76200</xdr:rowOff>
    </xdr:from>
    <xdr:to>
      <xdr:col>12</xdr:col>
      <xdr:colOff>561975</xdr:colOff>
      <xdr:row>12</xdr:row>
      <xdr:rowOff>190500</xdr:rowOff>
    </xdr:to>
    <xdr:sp macro="" textlink="">
      <xdr:nvSpPr>
        <xdr:cNvPr id="20" name="19 CuadroTexto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839201" y="2219325"/>
          <a:ext cx="1476374" cy="304800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reflection blurRad="6350" stA="52000" endA="300" endPos="350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HN" sz="1100" b="1"/>
            <a:t>CONFIGURACIONES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9</xdr:row>
          <xdr:rowOff>38100</xdr:rowOff>
        </xdr:from>
        <xdr:to>
          <xdr:col>1</xdr:col>
          <xdr:colOff>561975</xdr:colOff>
          <xdr:row>11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24</xdr:row>
          <xdr:rowOff>0</xdr:rowOff>
        </xdr:from>
        <xdr:to>
          <xdr:col>5</xdr:col>
          <xdr:colOff>419100</xdr:colOff>
          <xdr:row>25</xdr:row>
          <xdr:rowOff>104775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23</xdr:row>
          <xdr:rowOff>171450</xdr:rowOff>
        </xdr:from>
        <xdr:to>
          <xdr:col>6</xdr:col>
          <xdr:colOff>857250</xdr:colOff>
          <xdr:row>25</xdr:row>
          <xdr:rowOff>85725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23</xdr:row>
          <xdr:rowOff>161925</xdr:rowOff>
        </xdr:from>
        <xdr:to>
          <xdr:col>6</xdr:col>
          <xdr:colOff>2114550</xdr:colOff>
          <xdr:row>25</xdr:row>
          <xdr:rowOff>76200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104775</xdr:rowOff>
        </xdr:from>
        <xdr:to>
          <xdr:col>11</xdr:col>
          <xdr:colOff>523875</xdr:colOff>
          <xdr:row>14</xdr:row>
          <xdr:rowOff>142875</xdr:rowOff>
        </xdr:to>
        <xdr:sp macro="" textlink="">
          <xdr:nvSpPr>
            <xdr:cNvPr id="2056" name="List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26</xdr:col>
      <xdr:colOff>22860</xdr:colOff>
      <xdr:row>61</xdr:row>
      <xdr:rowOff>76200</xdr:rowOff>
    </xdr:from>
    <xdr:to>
      <xdr:col>27</xdr:col>
      <xdr:colOff>960120</xdr:colOff>
      <xdr:row>61</xdr:row>
      <xdr:rowOff>83820</xdr:rowOff>
    </xdr:to>
    <xdr:cxnSp macro="">
      <xdr:nvCxnSpPr>
        <xdr:cNvPr id="4" name="Conector rect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3256240" y="1119378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845820</xdr:colOff>
      <xdr:row>61</xdr:row>
      <xdr:rowOff>60960</xdr:rowOff>
    </xdr:from>
    <xdr:to>
      <xdr:col>30</xdr:col>
      <xdr:colOff>1889760</xdr:colOff>
      <xdr:row>61</xdr:row>
      <xdr:rowOff>68580</xdr:rowOff>
    </xdr:to>
    <xdr:cxnSp macro="">
      <xdr:nvCxnSpPr>
        <xdr:cNvPr id="14" name="Conector recto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27881580" y="1117854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1280160</xdr:colOff>
      <xdr:row>61</xdr:row>
      <xdr:rowOff>68580</xdr:rowOff>
    </xdr:from>
    <xdr:to>
      <xdr:col>29</xdr:col>
      <xdr:colOff>457200</xdr:colOff>
      <xdr:row>61</xdr:row>
      <xdr:rowOff>76200</xdr:rowOff>
    </xdr:to>
    <xdr:cxnSp macro="">
      <xdr:nvCxnSpPr>
        <xdr:cNvPr id="16" name="Conector recto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25534620" y="1118616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1466850</xdr:colOff>
      <xdr:row>1</xdr:row>
      <xdr:rowOff>104775</xdr:rowOff>
    </xdr:from>
    <xdr:to>
      <xdr:col>6</xdr:col>
      <xdr:colOff>2009775</xdr:colOff>
      <xdr:row>4</xdr:row>
      <xdr:rowOff>19050</xdr:rowOff>
    </xdr:to>
    <xdr:pic macro="[0]!REGRESARMENU">
      <xdr:nvPicPr>
        <xdr:cNvPr id="11" name="10 Imagen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285750"/>
          <a:ext cx="542925" cy="54292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9</xdr:row>
          <xdr:rowOff>38100</xdr:rowOff>
        </xdr:from>
        <xdr:to>
          <xdr:col>1</xdr:col>
          <xdr:colOff>561975</xdr:colOff>
          <xdr:row>11</xdr:row>
          <xdr:rowOff>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22</xdr:row>
          <xdr:rowOff>0</xdr:rowOff>
        </xdr:from>
        <xdr:to>
          <xdr:col>5</xdr:col>
          <xdr:colOff>419100</xdr:colOff>
          <xdr:row>23</xdr:row>
          <xdr:rowOff>104775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21</xdr:row>
          <xdr:rowOff>171450</xdr:rowOff>
        </xdr:from>
        <xdr:to>
          <xdr:col>6</xdr:col>
          <xdr:colOff>857250</xdr:colOff>
          <xdr:row>23</xdr:row>
          <xdr:rowOff>85725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21</xdr:row>
          <xdr:rowOff>161925</xdr:rowOff>
        </xdr:from>
        <xdr:to>
          <xdr:col>6</xdr:col>
          <xdr:colOff>2114550</xdr:colOff>
          <xdr:row>23</xdr:row>
          <xdr:rowOff>76200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2</xdr:row>
          <xdr:rowOff>85725</xdr:rowOff>
        </xdr:from>
        <xdr:to>
          <xdr:col>11</xdr:col>
          <xdr:colOff>647700</xdr:colOff>
          <xdr:row>13</xdr:row>
          <xdr:rowOff>47625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26</xdr:col>
      <xdr:colOff>22860</xdr:colOff>
      <xdr:row>59</xdr:row>
      <xdr:rowOff>76200</xdr:rowOff>
    </xdr:from>
    <xdr:to>
      <xdr:col>27</xdr:col>
      <xdr:colOff>960120</xdr:colOff>
      <xdr:row>59</xdr:row>
      <xdr:rowOff>83820</xdr:rowOff>
    </xdr:to>
    <xdr:cxnSp macro="">
      <xdr:nvCxnSpPr>
        <xdr:cNvPr id="8" name="Conector recto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23256240" y="1119378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845820</xdr:colOff>
      <xdr:row>59</xdr:row>
      <xdr:rowOff>60960</xdr:rowOff>
    </xdr:from>
    <xdr:to>
      <xdr:col>30</xdr:col>
      <xdr:colOff>1889760</xdr:colOff>
      <xdr:row>59</xdr:row>
      <xdr:rowOff>68580</xdr:rowOff>
    </xdr:to>
    <xdr:cxnSp macro="">
      <xdr:nvCxnSpPr>
        <xdr:cNvPr id="9" name="Conector recto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7881580" y="1117854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1280160</xdr:colOff>
      <xdr:row>59</xdr:row>
      <xdr:rowOff>68580</xdr:rowOff>
    </xdr:from>
    <xdr:to>
      <xdr:col>29</xdr:col>
      <xdr:colOff>457200</xdr:colOff>
      <xdr:row>59</xdr:row>
      <xdr:rowOff>76200</xdr:rowOff>
    </xdr:to>
    <xdr:cxnSp macro="">
      <xdr:nvCxnSpPr>
        <xdr:cNvPr id="10" name="Conector recto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5534620" y="1118616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1533525</xdr:colOff>
      <xdr:row>1</xdr:row>
      <xdr:rowOff>57150</xdr:rowOff>
    </xdr:from>
    <xdr:to>
      <xdr:col>6</xdr:col>
      <xdr:colOff>2076450</xdr:colOff>
      <xdr:row>3</xdr:row>
      <xdr:rowOff>238125</xdr:rowOff>
    </xdr:to>
    <xdr:pic macro="[0]!REGRESARMENU">
      <xdr:nvPicPr>
        <xdr:cNvPr id="11" name="10 Imagen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6625" y="238125"/>
          <a:ext cx="542925" cy="54292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9</xdr:row>
          <xdr:rowOff>38100</xdr:rowOff>
        </xdr:from>
        <xdr:to>
          <xdr:col>1</xdr:col>
          <xdr:colOff>561975</xdr:colOff>
          <xdr:row>11</xdr:row>
          <xdr:rowOff>9525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22</xdr:row>
          <xdr:rowOff>0</xdr:rowOff>
        </xdr:from>
        <xdr:to>
          <xdr:col>5</xdr:col>
          <xdr:colOff>419100</xdr:colOff>
          <xdr:row>23</xdr:row>
          <xdr:rowOff>104775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21</xdr:row>
          <xdr:rowOff>171450</xdr:rowOff>
        </xdr:from>
        <xdr:to>
          <xdr:col>6</xdr:col>
          <xdr:colOff>857250</xdr:colOff>
          <xdr:row>23</xdr:row>
          <xdr:rowOff>85725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21</xdr:row>
          <xdr:rowOff>161925</xdr:rowOff>
        </xdr:from>
        <xdr:to>
          <xdr:col>6</xdr:col>
          <xdr:colOff>2114550</xdr:colOff>
          <xdr:row>23</xdr:row>
          <xdr:rowOff>76200</xdr:rowOff>
        </xdr:to>
        <xdr:sp macro="" textlink="">
          <xdr:nvSpPr>
            <xdr:cNvPr id="9220" name="CommandButton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2</xdr:row>
          <xdr:rowOff>85725</xdr:rowOff>
        </xdr:from>
        <xdr:to>
          <xdr:col>11</xdr:col>
          <xdr:colOff>647700</xdr:colOff>
          <xdr:row>12</xdr:row>
          <xdr:rowOff>85725</xdr:rowOff>
        </xdr:to>
        <xdr:sp macro="" textlink="">
          <xdr:nvSpPr>
            <xdr:cNvPr id="9221" name="List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26</xdr:col>
      <xdr:colOff>22860</xdr:colOff>
      <xdr:row>64</xdr:row>
      <xdr:rowOff>76200</xdr:rowOff>
    </xdr:from>
    <xdr:to>
      <xdr:col>27</xdr:col>
      <xdr:colOff>960120</xdr:colOff>
      <xdr:row>64</xdr:row>
      <xdr:rowOff>83820</xdr:rowOff>
    </xdr:to>
    <xdr:cxnSp macro="">
      <xdr:nvCxnSpPr>
        <xdr:cNvPr id="8" name="Conector recto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23256240" y="1119378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845820</xdr:colOff>
      <xdr:row>64</xdr:row>
      <xdr:rowOff>60960</xdr:rowOff>
    </xdr:from>
    <xdr:to>
      <xdr:col>30</xdr:col>
      <xdr:colOff>1889760</xdr:colOff>
      <xdr:row>64</xdr:row>
      <xdr:rowOff>68580</xdr:rowOff>
    </xdr:to>
    <xdr:cxnSp macro="">
      <xdr:nvCxnSpPr>
        <xdr:cNvPr id="9" name="Conector recto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27881580" y="1117854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1280160</xdr:colOff>
      <xdr:row>64</xdr:row>
      <xdr:rowOff>68580</xdr:rowOff>
    </xdr:from>
    <xdr:to>
      <xdr:col>29</xdr:col>
      <xdr:colOff>457200</xdr:colOff>
      <xdr:row>64</xdr:row>
      <xdr:rowOff>76200</xdr:rowOff>
    </xdr:to>
    <xdr:cxnSp macro="">
      <xdr:nvCxnSpPr>
        <xdr:cNvPr id="10" name="Conector recto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25534620" y="1118616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655320</xdr:colOff>
      <xdr:row>0</xdr:row>
      <xdr:rowOff>169545</xdr:rowOff>
    </xdr:from>
    <xdr:to>
      <xdr:col>1</xdr:col>
      <xdr:colOff>350520</xdr:colOff>
      <xdr:row>3</xdr:row>
      <xdr:rowOff>140970</xdr:rowOff>
    </xdr:to>
    <xdr:pic macro="[0]!REGRESARMENU">
      <xdr:nvPicPr>
        <xdr:cNvPr id="11" name="10 Imagen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" y="169545"/>
          <a:ext cx="542925" cy="54292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9</xdr:row>
          <xdr:rowOff>38100</xdr:rowOff>
        </xdr:from>
        <xdr:to>
          <xdr:col>1</xdr:col>
          <xdr:colOff>561975</xdr:colOff>
          <xdr:row>11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22</xdr:row>
          <xdr:rowOff>0</xdr:rowOff>
        </xdr:from>
        <xdr:to>
          <xdr:col>5</xdr:col>
          <xdr:colOff>419100</xdr:colOff>
          <xdr:row>23</xdr:row>
          <xdr:rowOff>104775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21</xdr:row>
          <xdr:rowOff>171450</xdr:rowOff>
        </xdr:from>
        <xdr:to>
          <xdr:col>6</xdr:col>
          <xdr:colOff>857250</xdr:colOff>
          <xdr:row>23</xdr:row>
          <xdr:rowOff>85725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21</xdr:row>
          <xdr:rowOff>161925</xdr:rowOff>
        </xdr:from>
        <xdr:to>
          <xdr:col>6</xdr:col>
          <xdr:colOff>2114550</xdr:colOff>
          <xdr:row>23</xdr:row>
          <xdr:rowOff>76200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2</xdr:row>
          <xdr:rowOff>85725</xdr:rowOff>
        </xdr:from>
        <xdr:to>
          <xdr:col>11</xdr:col>
          <xdr:colOff>590550</xdr:colOff>
          <xdr:row>14</xdr:row>
          <xdr:rowOff>38100</xdr:rowOff>
        </xdr:to>
        <xdr:sp macro="" textlink="">
          <xdr:nvSpPr>
            <xdr:cNvPr id="10245" name="List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26</xdr:col>
      <xdr:colOff>22860</xdr:colOff>
      <xdr:row>59</xdr:row>
      <xdr:rowOff>76200</xdr:rowOff>
    </xdr:from>
    <xdr:to>
      <xdr:col>27</xdr:col>
      <xdr:colOff>960120</xdr:colOff>
      <xdr:row>59</xdr:row>
      <xdr:rowOff>83820</xdr:rowOff>
    </xdr:to>
    <xdr:cxnSp macro="">
      <xdr:nvCxnSpPr>
        <xdr:cNvPr id="8" name="Conector recto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23256240" y="1119378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845820</xdr:colOff>
      <xdr:row>59</xdr:row>
      <xdr:rowOff>60960</xdr:rowOff>
    </xdr:from>
    <xdr:to>
      <xdr:col>30</xdr:col>
      <xdr:colOff>1889760</xdr:colOff>
      <xdr:row>59</xdr:row>
      <xdr:rowOff>68580</xdr:rowOff>
    </xdr:to>
    <xdr:cxnSp macro="">
      <xdr:nvCxnSpPr>
        <xdr:cNvPr id="9" name="Conector recto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CxnSpPr/>
      </xdr:nvCxnSpPr>
      <xdr:spPr>
        <a:xfrm>
          <a:off x="27881580" y="1117854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1280160</xdr:colOff>
      <xdr:row>59</xdr:row>
      <xdr:rowOff>68580</xdr:rowOff>
    </xdr:from>
    <xdr:to>
      <xdr:col>29</xdr:col>
      <xdr:colOff>457200</xdr:colOff>
      <xdr:row>59</xdr:row>
      <xdr:rowOff>76200</xdr:rowOff>
    </xdr:to>
    <xdr:cxnSp macro="">
      <xdr:nvCxnSpPr>
        <xdr:cNvPr id="10" name="Conector recto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25534620" y="1118616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1392555</xdr:colOff>
      <xdr:row>1</xdr:row>
      <xdr:rowOff>81915</xdr:rowOff>
    </xdr:from>
    <xdr:to>
      <xdr:col>6</xdr:col>
      <xdr:colOff>1971675</xdr:colOff>
      <xdr:row>4</xdr:row>
      <xdr:rowOff>32385</xdr:rowOff>
    </xdr:to>
    <xdr:pic macro="[0]!REGRESARMENU">
      <xdr:nvPicPr>
        <xdr:cNvPr id="11" name="10 Imagen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5655" y="262890"/>
          <a:ext cx="579120" cy="579120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9</xdr:row>
          <xdr:rowOff>38100</xdr:rowOff>
        </xdr:from>
        <xdr:to>
          <xdr:col>1</xdr:col>
          <xdr:colOff>561975</xdr:colOff>
          <xdr:row>11</xdr:row>
          <xdr:rowOff>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22</xdr:row>
          <xdr:rowOff>0</xdr:rowOff>
        </xdr:from>
        <xdr:to>
          <xdr:col>5</xdr:col>
          <xdr:colOff>419100</xdr:colOff>
          <xdr:row>23</xdr:row>
          <xdr:rowOff>104775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21</xdr:row>
          <xdr:rowOff>171450</xdr:rowOff>
        </xdr:from>
        <xdr:to>
          <xdr:col>6</xdr:col>
          <xdr:colOff>857250</xdr:colOff>
          <xdr:row>23</xdr:row>
          <xdr:rowOff>85725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21</xdr:row>
          <xdr:rowOff>161925</xdr:rowOff>
        </xdr:from>
        <xdr:to>
          <xdr:col>6</xdr:col>
          <xdr:colOff>2114550</xdr:colOff>
          <xdr:row>23</xdr:row>
          <xdr:rowOff>76200</xdr:rowOff>
        </xdr:to>
        <xdr:sp macro="" textlink="">
          <xdr:nvSpPr>
            <xdr:cNvPr id="11268" name="CommandButton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2</xdr:row>
          <xdr:rowOff>76200</xdr:rowOff>
        </xdr:from>
        <xdr:to>
          <xdr:col>11</xdr:col>
          <xdr:colOff>190500</xdr:colOff>
          <xdr:row>12</xdr:row>
          <xdr:rowOff>133350</xdr:rowOff>
        </xdr:to>
        <xdr:sp macro="" textlink="">
          <xdr:nvSpPr>
            <xdr:cNvPr id="11269" name="List Box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26</xdr:col>
      <xdr:colOff>22860</xdr:colOff>
      <xdr:row>59</xdr:row>
      <xdr:rowOff>76200</xdr:rowOff>
    </xdr:from>
    <xdr:to>
      <xdr:col>27</xdr:col>
      <xdr:colOff>960120</xdr:colOff>
      <xdr:row>59</xdr:row>
      <xdr:rowOff>83820</xdr:rowOff>
    </xdr:to>
    <xdr:cxnSp macro="">
      <xdr:nvCxnSpPr>
        <xdr:cNvPr id="8" name="Conector recto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23256240" y="1119378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845820</xdr:colOff>
      <xdr:row>59</xdr:row>
      <xdr:rowOff>60960</xdr:rowOff>
    </xdr:from>
    <xdr:to>
      <xdr:col>30</xdr:col>
      <xdr:colOff>1889760</xdr:colOff>
      <xdr:row>59</xdr:row>
      <xdr:rowOff>68580</xdr:rowOff>
    </xdr:to>
    <xdr:cxnSp macro="">
      <xdr:nvCxnSpPr>
        <xdr:cNvPr id="9" name="Conector recto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27881580" y="1117854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1280160</xdr:colOff>
      <xdr:row>59</xdr:row>
      <xdr:rowOff>68580</xdr:rowOff>
    </xdr:from>
    <xdr:to>
      <xdr:col>29</xdr:col>
      <xdr:colOff>457200</xdr:colOff>
      <xdr:row>59</xdr:row>
      <xdr:rowOff>76200</xdr:rowOff>
    </xdr:to>
    <xdr:cxnSp macro="">
      <xdr:nvCxnSpPr>
        <xdr:cNvPr id="10" name="Conector recto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25534620" y="11186160"/>
          <a:ext cx="1958340" cy="762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1485900</xdr:colOff>
      <xdr:row>1</xdr:row>
      <xdr:rowOff>95250</xdr:rowOff>
    </xdr:from>
    <xdr:to>
      <xdr:col>6</xdr:col>
      <xdr:colOff>2028825</xdr:colOff>
      <xdr:row>4</xdr:row>
      <xdr:rowOff>9525</xdr:rowOff>
    </xdr:to>
    <xdr:pic macro="[0]!REGRESARMENU">
      <xdr:nvPicPr>
        <xdr:cNvPr id="11" name="10 Imagen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0" y="276225"/>
          <a:ext cx="542925" cy="54292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9525</xdr:rowOff>
        </xdr:from>
        <xdr:to>
          <xdr:col>15</xdr:col>
          <xdr:colOff>476250</xdr:colOff>
          <xdr:row>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</a:rPr>
                <a:t>NUEVO DIARIO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264584</xdr:colOff>
      <xdr:row>4</xdr:row>
      <xdr:rowOff>132293</xdr:rowOff>
    </xdr:from>
    <xdr:to>
      <xdr:col>15</xdr:col>
      <xdr:colOff>145521</xdr:colOff>
      <xdr:row>8</xdr:row>
      <xdr:rowOff>39688</xdr:rowOff>
    </xdr:to>
    <xdr:pic macro="[0]!REGRESARMENU">
      <xdr:nvPicPr>
        <xdr:cNvPr id="4" name="3 Imagen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8230" y="873126"/>
          <a:ext cx="648229" cy="648229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3</xdr:row>
      <xdr:rowOff>104775</xdr:rowOff>
    </xdr:from>
    <xdr:to>
      <xdr:col>12</xdr:col>
      <xdr:colOff>552450</xdr:colOff>
      <xdr:row>6</xdr:row>
      <xdr:rowOff>95250</xdr:rowOff>
    </xdr:to>
    <xdr:pic macro="[0]!REGRESARMENU"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8550" y="666750"/>
          <a:ext cx="542925" cy="54292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2</xdr:row>
      <xdr:rowOff>9525</xdr:rowOff>
    </xdr:from>
    <xdr:to>
      <xdr:col>7</xdr:col>
      <xdr:colOff>247650</xdr:colOff>
      <xdr:row>5</xdr:row>
      <xdr:rowOff>0</xdr:rowOff>
    </xdr:to>
    <xdr:pic macro="[0]!REGRESARMENU"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381000"/>
          <a:ext cx="542925" cy="54292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0</xdr:row>
      <xdr:rowOff>133350</xdr:rowOff>
    </xdr:from>
    <xdr:to>
      <xdr:col>4</xdr:col>
      <xdr:colOff>276225</xdr:colOff>
      <xdr:row>3</xdr:row>
      <xdr:rowOff>104775</xdr:rowOff>
    </xdr:to>
    <xdr:pic macro="[0]!REGRESARMENU">
      <xdr:nvPicPr>
        <xdr:cNvPr id="2" name="1 Imagen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5425" y="133350"/>
          <a:ext cx="542925" cy="54292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1</xdr:row>
      <xdr:rowOff>38100</xdr:rowOff>
    </xdr:from>
    <xdr:to>
      <xdr:col>2</xdr:col>
      <xdr:colOff>1228725</xdr:colOff>
      <xdr:row>4</xdr:row>
      <xdr:rowOff>19050</xdr:rowOff>
    </xdr:to>
    <xdr:pic macro="[0]!REGRESARMENU"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7225" y="219075"/>
          <a:ext cx="542925" cy="54292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476250</xdr:colOff>
      <xdr:row>1</xdr:row>
      <xdr:rowOff>28575</xdr:rowOff>
    </xdr:from>
    <xdr:to>
      <xdr:col>5</xdr:col>
      <xdr:colOff>257175</xdr:colOff>
      <xdr:row>4</xdr:row>
      <xdr:rowOff>9525</xdr:rowOff>
    </xdr:to>
    <xdr:pic macro="[0]!REGRESARMENU"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0" y="209550"/>
          <a:ext cx="542925" cy="542925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12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C00000"/>
  </sheetPr>
  <dimension ref="A1:P41"/>
  <sheetViews>
    <sheetView showGridLines="0" tabSelected="1" workbookViewId="0">
      <selection activeCell="H21" sqref="H21"/>
    </sheetView>
  </sheetViews>
  <sheetFormatPr baseColWidth="10" defaultRowHeight="15" x14ac:dyDescent="0.25"/>
  <cols>
    <col min="6" max="6" width="20.5703125" customWidth="1"/>
    <col min="14" max="14" width="23.5703125" customWidth="1"/>
    <col min="15" max="15" width="11.42578125" customWidth="1"/>
  </cols>
  <sheetData>
    <row r="1" spans="1:16" ht="18.75" x14ac:dyDescent="0.3">
      <c r="A1" s="75"/>
      <c r="B1" s="75"/>
      <c r="C1" s="83" t="s">
        <v>377</v>
      </c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75"/>
      <c r="P1" s="42"/>
    </row>
    <row r="2" spans="1:16" x14ac:dyDescent="0.25">
      <c r="A2" s="61"/>
      <c r="B2" s="85"/>
      <c r="C2" s="86"/>
      <c r="D2" s="86"/>
      <c r="E2" s="61"/>
      <c r="F2" s="86"/>
      <c r="G2" s="86"/>
      <c r="H2" s="86"/>
      <c r="I2" s="61"/>
      <c r="J2" s="61"/>
      <c r="K2" s="86"/>
      <c r="L2" s="86"/>
      <c r="M2" s="86"/>
      <c r="N2" s="62"/>
      <c r="O2" s="62"/>
      <c r="P2" s="41"/>
    </row>
    <row r="3" spans="1:16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88" t="s">
        <v>367</v>
      </c>
      <c r="O3" s="88"/>
      <c r="P3" s="41"/>
    </row>
    <row r="4" spans="1:16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2"/>
      <c r="O4" s="62"/>
      <c r="P4" s="41"/>
    </row>
    <row r="5" spans="1:16" ht="15" customHeight="1" x14ac:dyDescent="0.25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89" t="s">
        <v>368</v>
      </c>
      <c r="O5" s="89"/>
      <c r="P5" s="41"/>
    </row>
    <row r="6" spans="1:16" ht="15" customHeight="1" x14ac:dyDescent="0.25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88" t="s">
        <v>369</v>
      </c>
      <c r="O6" s="88"/>
      <c r="P6" s="41"/>
    </row>
    <row r="7" spans="1:16" x14ac:dyDescent="0.2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2"/>
      <c r="O7" s="62"/>
      <c r="P7" s="41"/>
    </row>
    <row r="8" spans="1:16" x14ac:dyDescent="0.25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90" t="s">
        <v>370</v>
      </c>
      <c r="O8" s="90"/>
      <c r="P8" s="41"/>
    </row>
    <row r="9" spans="1:16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88" t="s">
        <v>371</v>
      </c>
      <c r="O9" s="88"/>
      <c r="P9" s="41"/>
    </row>
    <row r="10" spans="1:16" x14ac:dyDescent="0.25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2"/>
      <c r="O10" s="62"/>
      <c r="P10" s="41"/>
    </row>
    <row r="11" spans="1:16" x14ac:dyDescent="0.25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88" t="s">
        <v>372</v>
      </c>
      <c r="O11" s="88"/>
      <c r="P11" s="41"/>
    </row>
    <row r="12" spans="1:16" x14ac:dyDescent="0.25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2"/>
      <c r="O12" s="62"/>
      <c r="P12" s="41"/>
    </row>
    <row r="13" spans="1:16" ht="15.75" x14ac:dyDescent="0.25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91" t="s">
        <v>373</v>
      </c>
      <c r="O13" s="92"/>
      <c r="P13" s="41"/>
    </row>
    <row r="14" spans="1:16" x14ac:dyDescent="0.25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93" t="s">
        <v>374</v>
      </c>
      <c r="O14" s="94"/>
      <c r="P14" s="41"/>
    </row>
    <row r="15" spans="1:16" x14ac:dyDescent="0.25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2"/>
      <c r="O15" s="62"/>
      <c r="P15" s="41"/>
    </row>
    <row r="16" spans="1:16" x14ac:dyDescent="0.25">
      <c r="A16" s="61"/>
      <c r="B16" s="61"/>
      <c r="C16" s="61"/>
      <c r="D16" s="61"/>
      <c r="E16" s="63" t="s">
        <v>351</v>
      </c>
      <c r="F16" s="63"/>
      <c r="G16" s="87" t="s">
        <v>315</v>
      </c>
      <c r="H16" s="61"/>
      <c r="I16" s="61"/>
      <c r="J16" s="61"/>
      <c r="K16" s="61"/>
      <c r="L16" s="61"/>
      <c r="M16" s="61"/>
      <c r="N16" s="62"/>
      <c r="O16" s="62"/>
      <c r="P16" s="41"/>
    </row>
    <row r="17" spans="1:16" x14ac:dyDescent="0.25">
      <c r="A17" s="61"/>
      <c r="B17" s="61"/>
      <c r="C17" s="61"/>
      <c r="D17" s="61"/>
      <c r="E17" s="63" t="s">
        <v>352</v>
      </c>
      <c r="F17" s="63"/>
      <c r="G17" s="87"/>
      <c r="H17" s="61"/>
      <c r="I17" s="61"/>
      <c r="J17" s="61"/>
      <c r="K17" s="61"/>
      <c r="L17" s="61"/>
      <c r="M17" s="61"/>
      <c r="N17" s="62"/>
      <c r="O17" s="62"/>
      <c r="P17" s="41"/>
    </row>
    <row r="18" spans="1:16" x14ac:dyDescent="0.25">
      <c r="A18" s="61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2"/>
      <c r="O18" s="62"/>
      <c r="P18" s="41"/>
    </row>
    <row r="19" spans="1:16" x14ac:dyDescent="0.25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2"/>
      <c r="O19" s="62"/>
      <c r="P19" s="41"/>
    </row>
    <row r="20" spans="1:16" x14ac:dyDescent="0.25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2"/>
      <c r="O20" s="62"/>
      <c r="P20" s="41"/>
    </row>
    <row r="21" spans="1:16" x14ac:dyDescent="0.25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2"/>
      <c r="O21" s="62"/>
      <c r="P21" s="41"/>
    </row>
    <row r="22" spans="1:16" x14ac:dyDescent="0.25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2"/>
      <c r="O22" s="62"/>
      <c r="P22" s="41"/>
    </row>
    <row r="23" spans="1:16" x14ac:dyDescent="0.25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2"/>
      <c r="O23" s="62"/>
      <c r="P23" s="41"/>
    </row>
    <row r="24" spans="1:16" x14ac:dyDescent="0.25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2"/>
      <c r="O24" s="62"/>
      <c r="P24" s="41"/>
    </row>
    <row r="25" spans="1:16" x14ac:dyDescent="0.25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2"/>
      <c r="O25" s="62"/>
      <c r="P25" s="41"/>
    </row>
    <row r="26" spans="1:16" x14ac:dyDescent="0.25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2"/>
      <c r="O26" s="62"/>
      <c r="P26" s="41"/>
    </row>
    <row r="27" spans="1:16" ht="111" customHeight="1" x14ac:dyDescent="0.25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2"/>
      <c r="O27" s="62"/>
      <c r="P27" s="41"/>
    </row>
    <row r="28" spans="1:16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</row>
    <row r="29" spans="1:16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</row>
    <row r="30" spans="1:16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</row>
    <row r="31" spans="1:16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</row>
    <row r="32" spans="1:16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</row>
    <row r="33" spans="1:16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</row>
    <row r="34" spans="1:16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</row>
    <row r="35" spans="1:16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</row>
    <row r="36" spans="1:16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</row>
    <row r="37" spans="1:16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</row>
    <row r="38" spans="1:16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</row>
    <row r="39" spans="1:16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</row>
    <row r="40" spans="1:16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</row>
    <row r="41" spans="1:16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</row>
  </sheetData>
  <sheetProtection password="CF7A" sheet="1" objects="1" scenarios="1"/>
  <mergeCells count="13">
    <mergeCell ref="C1:N1"/>
    <mergeCell ref="B2:D2"/>
    <mergeCell ref="F2:H2"/>
    <mergeCell ref="K2:M2"/>
    <mergeCell ref="G16:G17"/>
    <mergeCell ref="N6:O6"/>
    <mergeCell ref="N3:O3"/>
    <mergeCell ref="N5:O5"/>
    <mergeCell ref="N8:O8"/>
    <mergeCell ref="N9:O9"/>
    <mergeCell ref="N11:O11"/>
    <mergeCell ref="N13:O13"/>
    <mergeCell ref="N14:O14"/>
  </mergeCells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7</xdr:col>
                <xdr:colOff>180975</xdr:colOff>
                <xdr:row>14</xdr:row>
                <xdr:rowOff>171450</xdr:rowOff>
              </from>
              <to>
                <xdr:col>9</xdr:col>
                <xdr:colOff>723900</xdr:colOff>
                <xdr:row>17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Hoja14!$A$1:$A$82</xm:f>
          </x14:formula1>
          <xm:sqref>G16:G17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E63"/>
  <sheetViews>
    <sheetView showRowColHeaders="0" zoomScale="110" zoomScaleNormal="110" workbookViewId="0">
      <selection activeCell="E19" sqref="E19"/>
    </sheetView>
  </sheetViews>
  <sheetFormatPr baseColWidth="10" defaultRowHeight="15" x14ac:dyDescent="0.25"/>
  <cols>
    <col min="1" max="1" width="12.7109375" customWidth="1"/>
    <col min="2" max="2" width="12.28515625" customWidth="1"/>
    <col min="3" max="3" width="14.42578125" customWidth="1"/>
    <col min="4" max="4" width="22.28515625" customWidth="1"/>
    <col min="5" max="6" width="12.28515625" customWidth="1"/>
    <col min="7" max="7" width="33" customWidth="1"/>
    <col min="8" max="8" width="11.7109375" customWidth="1"/>
    <col min="27" max="27" width="14.85546875" customWidth="1"/>
    <col min="28" max="28" width="27.28515625" customWidth="1"/>
    <col min="29" max="30" width="13.28515625" customWidth="1"/>
    <col min="31" max="31" width="34.140625" customWidth="1"/>
  </cols>
  <sheetData>
    <row r="1" spans="1:31" ht="14.45" x14ac:dyDescent="0.3">
      <c r="A1" s="76"/>
      <c r="B1" s="76"/>
      <c r="C1" s="107" t="s">
        <v>5</v>
      </c>
      <c r="D1" s="107"/>
      <c r="E1" s="107"/>
      <c r="F1" s="107"/>
      <c r="G1" s="107"/>
      <c r="H1" s="8"/>
      <c r="I1" s="8"/>
      <c r="J1" s="8"/>
      <c r="K1" s="8"/>
      <c r="L1" s="8"/>
      <c r="M1" s="8"/>
      <c r="Q1">
        <v>22</v>
      </c>
      <c r="AA1" s="109" t="str">
        <f>MENU!C1</f>
        <v>NOMBRE DE LA EMPRESA: Sopas Catrachas</v>
      </c>
      <c r="AB1" s="109"/>
      <c r="AC1" s="109"/>
      <c r="AD1" s="109"/>
      <c r="AE1" s="109"/>
    </row>
    <row r="2" spans="1:31" ht="14.45" x14ac:dyDescent="0.3">
      <c r="A2" s="76"/>
      <c r="B2" s="76"/>
      <c r="C2" s="9" t="s">
        <v>6</v>
      </c>
      <c r="D2" s="10">
        <f>MAX(DIARIO!B2:B1000)+1</f>
        <v>5</v>
      </c>
      <c r="E2" s="10"/>
      <c r="F2" s="10"/>
      <c r="G2" s="10"/>
      <c r="H2" s="108" t="s">
        <v>13</v>
      </c>
      <c r="I2" s="108"/>
      <c r="J2" s="108"/>
      <c r="K2" s="108"/>
      <c r="L2" s="108"/>
      <c r="M2" s="8"/>
    </row>
    <row r="3" spans="1:31" ht="14.45" x14ac:dyDescent="0.3">
      <c r="A3" s="76"/>
      <c r="B3" s="76"/>
      <c r="C3" s="9" t="s">
        <v>7</v>
      </c>
      <c r="D3" s="47"/>
      <c r="E3" s="9" t="s">
        <v>8</v>
      </c>
      <c r="F3" s="60">
        <v>44181</v>
      </c>
      <c r="G3" s="10"/>
      <c r="H3" s="8"/>
      <c r="I3" s="8"/>
      <c r="J3" s="8"/>
      <c r="K3" s="8"/>
      <c r="L3" s="8"/>
      <c r="M3" s="8"/>
      <c r="AA3" s="110" t="str">
        <f>C1</f>
        <v>ASIENTO DE DIARIO</v>
      </c>
      <c r="AB3" s="110"/>
      <c r="AC3" s="110"/>
      <c r="AD3" s="110"/>
      <c r="AE3" s="110"/>
    </row>
    <row r="4" spans="1:31" ht="21" x14ac:dyDescent="0.4">
      <c r="A4" s="76"/>
      <c r="B4" s="76"/>
      <c r="C4" s="10"/>
      <c r="D4" s="10"/>
      <c r="E4" s="10"/>
      <c r="F4" s="10"/>
      <c r="G4" s="10"/>
      <c r="H4" s="8"/>
      <c r="I4" s="8"/>
      <c r="J4" s="8"/>
      <c r="K4" s="8"/>
      <c r="L4" s="8"/>
      <c r="M4" s="8"/>
      <c r="AD4" s="21" t="s">
        <v>14</v>
      </c>
      <c r="AE4" s="20">
        <f>D3</f>
        <v>0</v>
      </c>
    </row>
    <row r="5" spans="1:31" thickBot="1" x14ac:dyDescent="0.35">
      <c r="A5" s="76"/>
      <c r="B5" s="76"/>
      <c r="C5" s="10" t="s">
        <v>9</v>
      </c>
      <c r="D5" s="10"/>
      <c r="E5" s="10"/>
      <c r="F5" s="10"/>
      <c r="G5" s="10"/>
      <c r="H5" s="8"/>
      <c r="I5" s="8"/>
      <c r="J5" s="8"/>
      <c r="K5" s="8"/>
      <c r="L5" s="8"/>
      <c r="M5" s="8"/>
      <c r="AA5" t="s">
        <v>9</v>
      </c>
      <c r="AD5" s="3" t="s">
        <v>8</v>
      </c>
      <c r="AE5">
        <f>F3</f>
        <v>44181</v>
      </c>
    </row>
    <row r="6" spans="1:31" x14ac:dyDescent="0.25">
      <c r="A6" s="76"/>
      <c r="B6" s="76"/>
      <c r="C6" s="95"/>
      <c r="D6" s="96"/>
      <c r="E6" s="96"/>
      <c r="F6" s="96"/>
      <c r="G6" s="97"/>
      <c r="H6" s="8"/>
      <c r="I6" s="8"/>
      <c r="J6" s="8"/>
      <c r="K6" s="8"/>
      <c r="L6" s="8"/>
      <c r="M6" s="8"/>
      <c r="AA6" s="111">
        <f>C6</f>
        <v>0</v>
      </c>
      <c r="AB6" s="112"/>
      <c r="AC6" s="112"/>
      <c r="AD6" s="112"/>
      <c r="AE6" s="113"/>
    </row>
    <row r="7" spans="1:31" x14ac:dyDescent="0.25">
      <c r="A7" s="76"/>
      <c r="B7" s="76"/>
      <c r="C7" s="98"/>
      <c r="D7" s="99"/>
      <c r="E7" s="99"/>
      <c r="F7" s="99"/>
      <c r="G7" s="100"/>
      <c r="H7" s="8"/>
      <c r="I7" s="8"/>
      <c r="J7" s="8"/>
      <c r="K7" s="8"/>
      <c r="L7" s="8"/>
      <c r="M7" s="8"/>
      <c r="AA7" s="114"/>
      <c r="AB7" s="115"/>
      <c r="AC7" s="115"/>
      <c r="AD7" s="115"/>
      <c r="AE7" s="116"/>
    </row>
    <row r="8" spans="1:31" x14ac:dyDescent="0.25">
      <c r="A8" s="76"/>
      <c r="B8" s="76"/>
      <c r="C8" s="98"/>
      <c r="D8" s="99"/>
      <c r="E8" s="99"/>
      <c r="F8" s="99"/>
      <c r="G8" s="100"/>
      <c r="H8" s="8"/>
      <c r="I8" s="8"/>
      <c r="J8" s="8"/>
      <c r="K8" s="8"/>
      <c r="L8" s="8"/>
      <c r="M8" s="8"/>
      <c r="AA8" s="114"/>
      <c r="AB8" s="115"/>
      <c r="AC8" s="115"/>
      <c r="AD8" s="115"/>
      <c r="AE8" s="116"/>
    </row>
    <row r="9" spans="1:31" x14ac:dyDescent="0.25">
      <c r="A9" s="76"/>
      <c r="B9" s="76"/>
      <c r="C9" s="11" t="s">
        <v>0</v>
      </c>
      <c r="D9" s="11" t="s">
        <v>1</v>
      </c>
      <c r="E9" s="11" t="s">
        <v>2</v>
      </c>
      <c r="F9" s="11" t="s">
        <v>3</v>
      </c>
      <c r="G9" s="11" t="s">
        <v>4</v>
      </c>
      <c r="H9" s="8"/>
      <c r="I9" s="8"/>
      <c r="J9" s="8"/>
      <c r="K9" s="8"/>
      <c r="L9" s="8"/>
      <c r="M9" s="8"/>
      <c r="AA9" s="117"/>
      <c r="AB9" s="118"/>
      <c r="AC9" s="118"/>
      <c r="AD9" s="118"/>
      <c r="AE9" s="119"/>
    </row>
    <row r="10" spans="1:31" thickBot="1" x14ac:dyDescent="0.35">
      <c r="A10" s="76"/>
      <c r="B10" s="76"/>
      <c r="C10" s="43" t="s">
        <v>251</v>
      </c>
      <c r="D10" s="12" t="str">
        <f t="shared" ref="D10:D18" si="0">IF(C10&lt;&gt;"",VLOOKUP(C10,PLAN,2,0),"")</f>
        <v>Compras</v>
      </c>
      <c r="E10" s="43">
        <v>65000</v>
      </c>
      <c r="F10" s="45"/>
      <c r="G10" s="43"/>
      <c r="H10" s="8"/>
      <c r="I10" s="8"/>
      <c r="J10" s="8"/>
      <c r="K10" s="8"/>
      <c r="L10" s="8"/>
      <c r="M10" s="8"/>
      <c r="AA10" s="22" t="s">
        <v>15</v>
      </c>
      <c r="AB10" s="22" t="s">
        <v>16</v>
      </c>
      <c r="AC10" s="22" t="s">
        <v>17</v>
      </c>
      <c r="AD10" s="22" t="s">
        <v>18</v>
      </c>
      <c r="AE10" s="22" t="s">
        <v>19</v>
      </c>
    </row>
    <row r="11" spans="1:31" thickTop="1" x14ac:dyDescent="0.3">
      <c r="A11" s="76"/>
      <c r="B11" s="76"/>
      <c r="C11" s="44" t="s">
        <v>276</v>
      </c>
      <c r="D11" s="13" t="str">
        <f t="shared" si="0"/>
        <v>Bancos</v>
      </c>
      <c r="E11" s="44"/>
      <c r="F11" s="46">
        <v>65000</v>
      </c>
      <c r="G11" s="44"/>
      <c r="H11" s="8"/>
      <c r="I11" s="8"/>
      <c r="J11" s="8"/>
      <c r="K11" s="8"/>
      <c r="L11" s="8"/>
      <c r="M11" s="8"/>
    </row>
    <row r="12" spans="1:31" ht="14.45" x14ac:dyDescent="0.3">
      <c r="A12" s="76"/>
      <c r="B12" s="76"/>
      <c r="C12" s="44" t="s">
        <v>339</v>
      </c>
      <c r="D12" s="13" t="str">
        <f t="shared" si="0"/>
        <v>Vehiculos</v>
      </c>
      <c r="E12" s="44">
        <v>925400</v>
      </c>
      <c r="F12" s="46"/>
      <c r="G12" s="44"/>
      <c r="H12" s="8"/>
      <c r="I12" s="8"/>
      <c r="J12" s="8"/>
      <c r="K12" s="8"/>
      <c r="L12" s="8"/>
      <c r="M12" s="8"/>
    </row>
    <row r="13" spans="1:31" ht="14.45" x14ac:dyDescent="0.3">
      <c r="A13" s="76"/>
      <c r="B13" s="76"/>
      <c r="C13" s="44" t="s">
        <v>276</v>
      </c>
      <c r="D13" s="13" t="str">
        <f t="shared" si="0"/>
        <v>Bancos</v>
      </c>
      <c r="E13" s="44"/>
      <c r="F13" s="46">
        <v>925400</v>
      </c>
      <c r="G13" s="44"/>
      <c r="H13" s="8"/>
      <c r="I13" s="8"/>
      <c r="J13" s="8"/>
      <c r="K13" s="8"/>
      <c r="L13" s="8"/>
      <c r="M13" s="8"/>
    </row>
    <row r="14" spans="1:31" ht="14.45" x14ac:dyDescent="0.3">
      <c r="A14" s="76"/>
      <c r="B14" s="76"/>
      <c r="C14" s="44"/>
      <c r="D14" s="13" t="str">
        <f t="shared" si="0"/>
        <v/>
      </c>
      <c r="E14" s="44"/>
      <c r="F14" s="46"/>
      <c r="G14" s="44"/>
      <c r="H14" s="8"/>
      <c r="I14" s="8"/>
      <c r="J14" s="8"/>
      <c r="K14" s="8"/>
      <c r="L14" s="8"/>
      <c r="M14" s="8"/>
    </row>
    <row r="15" spans="1:31" ht="14.45" x14ac:dyDescent="0.3">
      <c r="A15" s="76"/>
      <c r="B15" s="76"/>
      <c r="C15" s="44"/>
      <c r="D15" s="13" t="str">
        <f t="shared" si="0"/>
        <v/>
      </c>
      <c r="E15" s="44"/>
      <c r="F15" s="46"/>
      <c r="G15" s="44"/>
      <c r="H15" s="8"/>
      <c r="I15" s="8"/>
      <c r="J15" s="8"/>
      <c r="K15" s="8"/>
      <c r="L15" s="8"/>
      <c r="M15" s="8"/>
    </row>
    <row r="16" spans="1:31" ht="14.45" x14ac:dyDescent="0.3">
      <c r="A16" s="76"/>
      <c r="B16" s="76"/>
      <c r="C16" s="44"/>
      <c r="D16" s="13" t="str">
        <f t="shared" si="0"/>
        <v/>
      </c>
      <c r="E16" s="44"/>
      <c r="F16" s="46"/>
      <c r="G16" s="44"/>
      <c r="H16" s="8"/>
      <c r="I16" s="8"/>
      <c r="J16" s="8"/>
      <c r="K16" s="8"/>
      <c r="L16" s="8"/>
      <c r="M16" s="8"/>
    </row>
    <row r="17" spans="1:13" x14ac:dyDescent="0.25">
      <c r="A17" s="76"/>
      <c r="B17" s="76"/>
      <c r="C17" s="44"/>
      <c r="D17" s="13" t="str">
        <f t="shared" si="0"/>
        <v/>
      </c>
      <c r="E17" s="44"/>
      <c r="F17" s="46"/>
      <c r="G17" s="44"/>
      <c r="H17" s="8"/>
      <c r="I17" s="8"/>
      <c r="J17" s="8"/>
      <c r="K17" s="8"/>
      <c r="L17" s="8"/>
      <c r="M17" s="8"/>
    </row>
    <row r="18" spans="1:13" x14ac:dyDescent="0.25">
      <c r="A18" s="76"/>
      <c r="B18" s="76"/>
      <c r="C18" s="44"/>
      <c r="D18" s="13" t="str">
        <f t="shared" si="0"/>
        <v/>
      </c>
      <c r="E18" s="44"/>
      <c r="F18" s="46"/>
      <c r="G18" s="44"/>
      <c r="H18" s="8"/>
      <c r="I18" s="8"/>
      <c r="J18" s="8"/>
      <c r="K18" s="8"/>
      <c r="L18" s="8"/>
      <c r="M18" s="8"/>
    </row>
    <row r="19" spans="1:13" x14ac:dyDescent="0.25">
      <c r="A19" s="76"/>
      <c r="B19" s="76"/>
      <c r="C19" s="44"/>
      <c r="D19" s="13"/>
      <c r="E19" s="44"/>
      <c r="F19" s="46"/>
      <c r="G19" s="44"/>
      <c r="H19" s="8"/>
      <c r="I19" s="8"/>
      <c r="J19" s="8"/>
      <c r="K19" s="8"/>
      <c r="L19" s="8"/>
      <c r="M19" s="8"/>
    </row>
    <row r="20" spans="1:13" x14ac:dyDescent="0.25">
      <c r="A20" s="76"/>
      <c r="B20" s="76"/>
      <c r="C20" s="44"/>
      <c r="D20" s="13"/>
      <c r="E20" s="44"/>
      <c r="F20" s="46"/>
      <c r="G20" s="44"/>
      <c r="H20" s="8"/>
      <c r="I20" s="8"/>
      <c r="J20" s="8"/>
      <c r="K20" s="8"/>
      <c r="L20" s="8"/>
      <c r="M20" s="8"/>
    </row>
    <row r="21" spans="1:13" ht="31.9" customHeight="1" x14ac:dyDescent="0.25">
      <c r="A21" s="76"/>
      <c r="B21" s="76"/>
      <c r="C21" s="78"/>
      <c r="D21" s="79" t="s">
        <v>12</v>
      </c>
      <c r="E21" s="14"/>
      <c r="F21" s="15"/>
      <c r="G21" s="14"/>
      <c r="H21" s="8"/>
      <c r="I21" s="8"/>
      <c r="J21" s="8"/>
      <c r="K21" s="8"/>
      <c r="L21" s="8"/>
      <c r="M21" s="8"/>
    </row>
    <row r="22" spans="1:13" x14ac:dyDescent="0.25">
      <c r="A22" s="76"/>
      <c r="B22" s="76"/>
      <c r="C22" s="16" t="s">
        <v>10</v>
      </c>
      <c r="D22" s="17" t="s">
        <v>11</v>
      </c>
      <c r="E22" s="18">
        <f>SUM(E10:E21)</f>
        <v>990400</v>
      </c>
      <c r="F22" s="18">
        <f>SUM(F10:F21)</f>
        <v>990400</v>
      </c>
      <c r="G22" s="19" t="str">
        <f>IF(F23&lt;&gt;0,"OJO ASIENTO NO CUADRA","")</f>
        <v/>
      </c>
      <c r="H22" s="8"/>
      <c r="I22" s="8"/>
      <c r="J22" s="8"/>
      <c r="K22" s="8"/>
      <c r="L22" s="8"/>
      <c r="M22" s="8"/>
    </row>
    <row r="23" spans="1:13" x14ac:dyDescent="0.25">
      <c r="A23" s="76"/>
      <c r="B23" s="76"/>
      <c r="C23" s="101"/>
      <c r="D23" s="102"/>
      <c r="E23" s="18"/>
      <c r="F23" s="18">
        <f>E22-F22</f>
        <v>0</v>
      </c>
      <c r="G23" s="10"/>
      <c r="H23" s="8"/>
      <c r="I23" s="8"/>
      <c r="J23" s="8"/>
      <c r="K23" s="8"/>
      <c r="L23" s="8"/>
      <c r="M23" s="8"/>
    </row>
    <row r="24" spans="1:13" x14ac:dyDescent="0.25">
      <c r="A24" s="76"/>
      <c r="B24" s="76"/>
      <c r="C24" s="103"/>
      <c r="D24" s="104"/>
      <c r="E24" s="10"/>
      <c r="F24" s="10"/>
      <c r="G24" s="10"/>
      <c r="H24" s="8"/>
      <c r="I24" s="8"/>
      <c r="J24" s="8"/>
      <c r="K24" s="8"/>
      <c r="L24" s="8"/>
      <c r="M24" s="8"/>
    </row>
    <row r="25" spans="1:13" x14ac:dyDescent="0.25">
      <c r="A25" s="76"/>
      <c r="B25" s="76"/>
      <c r="C25" s="103"/>
      <c r="D25" s="104"/>
      <c r="E25" s="10"/>
      <c r="F25" s="10"/>
      <c r="G25" s="10"/>
      <c r="H25" s="8"/>
      <c r="I25" s="8"/>
      <c r="J25" s="8"/>
      <c r="K25" s="8"/>
      <c r="L25" s="8"/>
      <c r="M25" s="8"/>
    </row>
    <row r="26" spans="1:13" x14ac:dyDescent="0.25">
      <c r="A26" s="76"/>
      <c r="B26" s="76"/>
      <c r="C26" s="105"/>
      <c r="D26" s="106"/>
      <c r="E26" s="10"/>
      <c r="F26" s="10"/>
      <c r="G26" s="10"/>
      <c r="H26" s="8"/>
      <c r="I26" s="8"/>
      <c r="J26" s="8"/>
      <c r="K26" s="8"/>
      <c r="L26" s="8"/>
      <c r="M26" s="8"/>
    </row>
    <row r="27" spans="1:13" x14ac:dyDescent="0.25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8"/>
      <c r="M27" s="8"/>
    </row>
    <row r="28" spans="1:13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1:13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1:13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1:13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1:13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58" spans="27:31" x14ac:dyDescent="0.25">
      <c r="AB58" s="2" t="s">
        <v>20</v>
      </c>
      <c r="AC58" s="23">
        <f>SUM(AC11:AC57)</f>
        <v>0</v>
      </c>
      <c r="AD58" s="23">
        <f>SUM(AD11:AD57)</f>
        <v>0</v>
      </c>
    </row>
    <row r="63" spans="27:31" x14ac:dyDescent="0.25">
      <c r="AA63" t="s">
        <v>22</v>
      </c>
      <c r="AC63" t="s">
        <v>21</v>
      </c>
      <c r="AE63" t="s">
        <v>23</v>
      </c>
    </row>
  </sheetData>
  <sheetProtection password="CF42" sheet="1" objects="1" scenarios="1" selectLockedCells="1"/>
  <mergeCells count="7">
    <mergeCell ref="C6:G8"/>
    <mergeCell ref="C23:D26"/>
    <mergeCell ref="C1:G1"/>
    <mergeCell ref="H2:L2"/>
    <mergeCell ref="AA1:AE1"/>
    <mergeCell ref="AA3:AE3"/>
    <mergeCell ref="AA6:AE9"/>
  </mergeCells>
  <pageMargins left="0.7" right="0.7" top="0.75" bottom="0.75" header="0.3" footer="0.3"/>
  <pageSetup scale="74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361950</xdr:colOff>
                <xdr:row>9</xdr:row>
                <xdr:rowOff>38100</xdr:rowOff>
              </from>
              <to>
                <xdr:col>1</xdr:col>
                <xdr:colOff>561975</xdr:colOff>
                <xdr:row>11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4</xdr:col>
                <xdr:colOff>66675</xdr:colOff>
                <xdr:row>24</xdr:row>
                <xdr:rowOff>0</xdr:rowOff>
              </from>
              <to>
                <xdr:col>5</xdr:col>
                <xdr:colOff>419100</xdr:colOff>
                <xdr:row>25</xdr:row>
                <xdr:rowOff>104775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3" r:id="rId8" name="CommandButton3">
          <controlPr defaultSize="0" autoLine="0" r:id="rId9">
            <anchor moveWithCells="1">
              <from>
                <xdr:col>5</xdr:col>
                <xdr:colOff>504825</xdr:colOff>
                <xdr:row>23</xdr:row>
                <xdr:rowOff>171450</xdr:rowOff>
              </from>
              <to>
                <xdr:col>6</xdr:col>
                <xdr:colOff>857250</xdr:colOff>
                <xdr:row>25</xdr:row>
                <xdr:rowOff>85725</xdr:rowOff>
              </to>
            </anchor>
          </controlPr>
        </control>
      </mc:Choice>
      <mc:Fallback>
        <control shapeId="2053" r:id="rId8" name="CommandButton3"/>
      </mc:Fallback>
    </mc:AlternateContent>
    <mc:AlternateContent xmlns:mc="http://schemas.openxmlformats.org/markup-compatibility/2006">
      <mc:Choice Requires="x14">
        <control shapeId="2055" r:id="rId10" name="CommandButton4">
          <controlPr defaultSize="0" autoLine="0" r:id="rId11">
            <anchor moveWithCells="1">
              <from>
                <xdr:col>6</xdr:col>
                <xdr:colOff>942975</xdr:colOff>
                <xdr:row>23</xdr:row>
                <xdr:rowOff>161925</xdr:rowOff>
              </from>
              <to>
                <xdr:col>6</xdr:col>
                <xdr:colOff>2114550</xdr:colOff>
                <xdr:row>25</xdr:row>
                <xdr:rowOff>76200</xdr:rowOff>
              </to>
            </anchor>
          </controlPr>
        </control>
      </mc:Choice>
      <mc:Fallback>
        <control shapeId="2055" r:id="rId10" name="CommandButton4"/>
      </mc:Fallback>
    </mc:AlternateContent>
    <mc:AlternateContent xmlns:mc="http://schemas.openxmlformats.org/markup-compatibility/2006">
      <mc:Choice Requires="x14">
        <control shapeId="2056" r:id="rId12" name="List Box 8">
          <controlPr defaultSize="0" autoLine="0" autoPict="0">
            <anchor moveWithCells="1">
              <from>
                <xdr:col>7</xdr:col>
                <xdr:colOff>333375</xdr:colOff>
                <xdr:row>2</xdr:row>
                <xdr:rowOff>104775</xdr:rowOff>
              </from>
              <to>
                <xdr:col>11</xdr:col>
                <xdr:colOff>523875</xdr:colOff>
                <xdr:row>14</xdr:row>
                <xdr:rowOff>142875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8EFCDAB-C0DD-4A7F-A4F3-240D18F96902}">
            <xm:f>NOT(ISERROR(SEARCH($G$22,G22)))</xm:f>
            <xm:f>$G$22</xm:f>
            <x14:dxf>
              <fill>
                <patternFill>
                  <bgColor rgb="FFFFFF00"/>
                </patternFill>
              </fill>
            </x14:dxf>
          </x14:cfRule>
          <xm:sqref>G22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Hoja14!$A$1:$A$82</xm:f>
          </x14:formula1>
          <xm:sqref>C10:C21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AE61"/>
  <sheetViews>
    <sheetView showRowColHeaders="0" zoomScale="110" zoomScaleNormal="110" workbookViewId="0">
      <selection activeCell="H17" sqref="H17"/>
    </sheetView>
  </sheetViews>
  <sheetFormatPr baseColWidth="10" defaultRowHeight="15" x14ac:dyDescent="0.25"/>
  <cols>
    <col min="1" max="1" width="12.7109375" customWidth="1"/>
    <col min="2" max="2" width="12.28515625" customWidth="1"/>
    <col min="3" max="3" width="14.42578125" customWidth="1"/>
    <col min="4" max="4" width="22.28515625" customWidth="1"/>
    <col min="5" max="6" width="12.28515625" customWidth="1"/>
    <col min="7" max="7" width="33" customWidth="1"/>
    <col min="8" max="8" width="11.7109375" customWidth="1"/>
    <col min="27" max="27" width="14.85546875" customWidth="1"/>
    <col min="28" max="28" width="27.28515625" customWidth="1"/>
    <col min="29" max="30" width="13.28515625" customWidth="1"/>
    <col min="31" max="31" width="34.140625" customWidth="1"/>
  </cols>
  <sheetData>
    <row r="1" spans="1:31" ht="14.45" x14ac:dyDescent="0.3">
      <c r="A1" s="8"/>
      <c r="B1" s="8"/>
      <c r="C1" s="107" t="s">
        <v>24</v>
      </c>
      <c r="D1" s="107"/>
      <c r="E1" s="107"/>
      <c r="F1" s="107"/>
      <c r="G1" s="107"/>
      <c r="H1" s="8"/>
      <c r="I1" s="8"/>
      <c r="J1" s="8"/>
      <c r="K1" s="8"/>
      <c r="L1" s="8"/>
      <c r="M1" s="8"/>
      <c r="AA1" s="109" t="str">
        <f>MENU!C1</f>
        <v>NOMBRE DE LA EMPRESA: Sopas Catrachas</v>
      </c>
      <c r="AB1" s="109"/>
      <c r="AC1" s="109"/>
      <c r="AD1" s="109"/>
      <c r="AE1" s="109"/>
    </row>
    <row r="2" spans="1:31" ht="14.45" x14ac:dyDescent="0.3">
      <c r="A2" s="8"/>
      <c r="B2" s="8"/>
      <c r="C2" s="9" t="s">
        <v>25</v>
      </c>
      <c r="D2" s="10">
        <f>MAX(DIARIO!C2:C1000)+1</f>
        <v>3</v>
      </c>
      <c r="E2" s="10"/>
      <c r="F2" s="10"/>
      <c r="G2" s="10"/>
      <c r="H2" s="108" t="s">
        <v>13</v>
      </c>
      <c r="I2" s="108"/>
      <c r="J2" s="108"/>
      <c r="K2" s="108"/>
      <c r="L2" s="108"/>
      <c r="M2" s="8"/>
    </row>
    <row r="3" spans="1:31" ht="14.45" x14ac:dyDescent="0.3">
      <c r="A3" s="8"/>
      <c r="B3" s="8"/>
      <c r="C3" s="9" t="s">
        <v>26</v>
      </c>
      <c r="D3" s="47"/>
      <c r="E3" s="9" t="s">
        <v>8</v>
      </c>
      <c r="F3" s="60"/>
      <c r="G3" s="10"/>
      <c r="H3" s="8"/>
      <c r="I3" s="8"/>
      <c r="J3" s="8"/>
      <c r="K3" s="8"/>
      <c r="L3" s="8"/>
      <c r="M3" s="8"/>
      <c r="AA3" s="110" t="str">
        <f>C1</f>
        <v>COMPROBANTE DE INGRESO</v>
      </c>
      <c r="AB3" s="110"/>
      <c r="AC3" s="110"/>
      <c r="AD3" s="110"/>
      <c r="AE3" s="110"/>
    </row>
    <row r="4" spans="1:31" ht="21" x14ac:dyDescent="0.4">
      <c r="A4" s="8"/>
      <c r="B4" s="8"/>
      <c r="C4" s="10"/>
      <c r="D4" s="10"/>
      <c r="E4" s="10"/>
      <c r="F4" s="10"/>
      <c r="G4" s="10"/>
      <c r="H4" s="8"/>
      <c r="I4" s="8"/>
      <c r="J4" s="8"/>
      <c r="K4" s="8"/>
      <c r="L4" s="8"/>
      <c r="M4" s="8"/>
      <c r="AD4" s="21" t="s">
        <v>14</v>
      </c>
      <c r="AE4" s="48">
        <f>D3</f>
        <v>0</v>
      </c>
    </row>
    <row r="5" spans="1:31" thickBot="1" x14ac:dyDescent="0.35">
      <c r="A5" s="8"/>
      <c r="B5" s="8"/>
      <c r="C5" s="10" t="s">
        <v>9</v>
      </c>
      <c r="D5" s="10"/>
      <c r="E5" s="10"/>
      <c r="F5" s="10"/>
      <c r="G5" s="10"/>
      <c r="H5" s="8"/>
      <c r="I5" s="8"/>
      <c r="J5" s="8"/>
      <c r="K5" s="8"/>
      <c r="L5" s="8"/>
      <c r="M5" s="8"/>
      <c r="AA5" t="s">
        <v>9</v>
      </c>
      <c r="AD5" s="3" t="s">
        <v>8</v>
      </c>
      <c r="AE5" s="27">
        <f>F3</f>
        <v>0</v>
      </c>
    </row>
    <row r="6" spans="1:31" x14ac:dyDescent="0.25">
      <c r="A6" s="8"/>
      <c r="B6" s="8"/>
      <c r="C6" s="95"/>
      <c r="D6" s="96"/>
      <c r="E6" s="96"/>
      <c r="F6" s="96"/>
      <c r="G6" s="97"/>
      <c r="H6" s="8"/>
      <c r="I6" s="8"/>
      <c r="J6" s="8"/>
      <c r="K6" s="8"/>
      <c r="L6" s="8"/>
      <c r="M6" s="8"/>
      <c r="AA6" s="111">
        <f>C6</f>
        <v>0</v>
      </c>
      <c r="AB6" s="112"/>
      <c r="AC6" s="112"/>
      <c r="AD6" s="112"/>
      <c r="AE6" s="113"/>
    </row>
    <row r="7" spans="1:31" x14ac:dyDescent="0.25">
      <c r="A7" s="8"/>
      <c r="B7" s="8"/>
      <c r="C7" s="98"/>
      <c r="D7" s="99"/>
      <c r="E7" s="99"/>
      <c r="F7" s="99"/>
      <c r="G7" s="100"/>
      <c r="H7" s="8"/>
      <c r="I7" s="8"/>
      <c r="J7" s="8"/>
      <c r="K7" s="8"/>
      <c r="L7" s="8"/>
      <c r="M7" s="8"/>
      <c r="AA7" s="114"/>
      <c r="AB7" s="115"/>
      <c r="AC7" s="115"/>
      <c r="AD7" s="115"/>
      <c r="AE7" s="116"/>
    </row>
    <row r="8" spans="1:31" x14ac:dyDescent="0.25">
      <c r="A8" s="8"/>
      <c r="B8" s="8"/>
      <c r="C8" s="98"/>
      <c r="D8" s="99"/>
      <c r="E8" s="99"/>
      <c r="F8" s="99"/>
      <c r="G8" s="100"/>
      <c r="H8" s="8"/>
      <c r="I8" s="8"/>
      <c r="J8" s="8"/>
      <c r="K8" s="8"/>
      <c r="L8" s="8"/>
      <c r="M8" s="8"/>
      <c r="AA8" s="114"/>
      <c r="AB8" s="115"/>
      <c r="AC8" s="115"/>
      <c r="AD8" s="115"/>
      <c r="AE8" s="116"/>
    </row>
    <row r="9" spans="1:31" x14ac:dyDescent="0.25">
      <c r="A9" s="8"/>
      <c r="B9" s="8"/>
      <c r="C9" s="11" t="s">
        <v>0</v>
      </c>
      <c r="D9" s="11" t="s">
        <v>1</v>
      </c>
      <c r="E9" s="11" t="s">
        <v>2</v>
      </c>
      <c r="F9" s="11" t="s">
        <v>3</v>
      </c>
      <c r="G9" s="11" t="s">
        <v>4</v>
      </c>
      <c r="H9" s="8"/>
      <c r="I9" s="8"/>
      <c r="J9" s="8"/>
      <c r="K9" s="8"/>
      <c r="L9" s="8"/>
      <c r="M9" s="8"/>
      <c r="AA9" s="117"/>
      <c r="AB9" s="118"/>
      <c r="AC9" s="118"/>
      <c r="AD9" s="118"/>
      <c r="AE9" s="119"/>
    </row>
    <row r="10" spans="1:31" thickBot="1" x14ac:dyDescent="0.35">
      <c r="A10" s="8"/>
      <c r="B10" s="8"/>
      <c r="C10" s="43" t="s">
        <v>275</v>
      </c>
      <c r="D10" s="12" t="str">
        <f t="shared" ref="D10:D18" si="0">IF(C10&lt;&gt;"",VLOOKUP(C10,PLAN,2,0),"")</f>
        <v>Caja General</v>
      </c>
      <c r="E10" s="43"/>
      <c r="F10" s="43"/>
      <c r="G10" s="43"/>
      <c r="H10" s="8"/>
      <c r="I10" s="8"/>
      <c r="J10" s="8"/>
      <c r="K10" s="8"/>
      <c r="L10" s="8"/>
      <c r="M10" s="8"/>
      <c r="AA10" s="22" t="s">
        <v>15</v>
      </c>
      <c r="AB10" s="22" t="s">
        <v>16</v>
      </c>
      <c r="AC10" s="22" t="s">
        <v>17</v>
      </c>
      <c r="AD10" s="22" t="s">
        <v>18</v>
      </c>
      <c r="AE10" s="22" t="s">
        <v>19</v>
      </c>
    </row>
    <row r="11" spans="1:31" thickTop="1" x14ac:dyDescent="0.3">
      <c r="A11" s="8"/>
      <c r="B11" s="8"/>
      <c r="C11" s="44"/>
      <c r="D11" s="13" t="str">
        <f t="shared" si="0"/>
        <v/>
      </c>
      <c r="E11" s="44"/>
      <c r="F11" s="44"/>
      <c r="G11" s="44"/>
      <c r="H11" s="8"/>
      <c r="I11" s="8"/>
      <c r="J11" s="8"/>
      <c r="K11" s="8"/>
      <c r="L11" s="8"/>
      <c r="M11" s="8"/>
    </row>
    <row r="12" spans="1:31" ht="14.45" x14ac:dyDescent="0.3">
      <c r="A12" s="8"/>
      <c r="B12" s="8"/>
      <c r="C12" s="44"/>
      <c r="D12" s="13" t="str">
        <f t="shared" si="0"/>
        <v/>
      </c>
      <c r="E12" s="44"/>
      <c r="F12" s="44"/>
      <c r="G12" s="44"/>
      <c r="H12" s="8"/>
      <c r="I12" s="8"/>
      <c r="J12" s="8"/>
      <c r="K12" s="8"/>
      <c r="L12" s="8"/>
      <c r="M12" s="8"/>
    </row>
    <row r="13" spans="1:31" ht="14.45" x14ac:dyDescent="0.3">
      <c r="A13" s="8"/>
      <c r="B13" s="8"/>
      <c r="C13" s="44"/>
      <c r="D13" s="13" t="str">
        <f t="shared" si="0"/>
        <v/>
      </c>
      <c r="E13" s="44"/>
      <c r="F13" s="44"/>
      <c r="G13" s="44"/>
      <c r="H13" s="8"/>
      <c r="I13" s="8"/>
      <c r="J13" s="8"/>
      <c r="K13" s="8"/>
      <c r="L13" s="8"/>
      <c r="M13" s="8"/>
    </row>
    <row r="14" spans="1:31" ht="14.45" x14ac:dyDescent="0.3">
      <c r="A14" s="8"/>
      <c r="B14" s="8"/>
      <c r="C14" s="44"/>
      <c r="D14" s="13" t="str">
        <f t="shared" si="0"/>
        <v/>
      </c>
      <c r="E14" s="44"/>
      <c r="F14" s="44"/>
      <c r="G14" s="44"/>
      <c r="H14" s="8"/>
      <c r="I14" s="8"/>
      <c r="J14" s="8"/>
      <c r="K14" s="8"/>
      <c r="L14" s="8"/>
      <c r="M14" s="8"/>
    </row>
    <row r="15" spans="1:31" ht="14.45" x14ac:dyDescent="0.3">
      <c r="A15" s="8"/>
      <c r="B15" s="8"/>
      <c r="C15" s="44"/>
      <c r="D15" s="13" t="str">
        <f t="shared" si="0"/>
        <v/>
      </c>
      <c r="E15" s="44"/>
      <c r="F15" s="44"/>
      <c r="G15" s="44"/>
      <c r="H15" s="8"/>
      <c r="I15" s="8"/>
      <c r="J15" s="8"/>
      <c r="K15" s="8"/>
      <c r="L15" s="8"/>
      <c r="M15" s="8"/>
    </row>
    <row r="16" spans="1:31" ht="14.45" x14ac:dyDescent="0.3">
      <c r="A16" s="8"/>
      <c r="B16" s="8"/>
      <c r="C16" s="44"/>
      <c r="D16" s="13" t="str">
        <f t="shared" si="0"/>
        <v/>
      </c>
      <c r="E16" s="44"/>
      <c r="F16" s="44"/>
      <c r="G16" s="44"/>
      <c r="H16" s="8"/>
      <c r="I16" s="8"/>
      <c r="J16" s="8"/>
      <c r="K16" s="8"/>
      <c r="L16" s="8"/>
      <c r="M16" s="8"/>
    </row>
    <row r="17" spans="1:13" x14ac:dyDescent="0.25">
      <c r="A17" s="8"/>
      <c r="B17" s="8"/>
      <c r="C17" s="44"/>
      <c r="D17" s="13" t="str">
        <f t="shared" si="0"/>
        <v/>
      </c>
      <c r="E17" s="44"/>
      <c r="F17" s="44"/>
      <c r="G17" s="44"/>
      <c r="H17" s="8"/>
      <c r="I17" s="8"/>
      <c r="J17" s="8"/>
      <c r="K17" s="8"/>
      <c r="L17" s="8"/>
      <c r="M17" s="8"/>
    </row>
    <row r="18" spans="1:13" x14ac:dyDescent="0.25">
      <c r="A18" s="8"/>
      <c r="B18" s="8"/>
      <c r="C18" s="44"/>
      <c r="D18" s="13" t="str">
        <f t="shared" si="0"/>
        <v/>
      </c>
      <c r="E18" s="44"/>
      <c r="F18" s="44"/>
      <c r="G18" s="44"/>
      <c r="H18" s="8"/>
      <c r="I18" s="8"/>
      <c r="J18" s="8"/>
      <c r="K18" s="8"/>
      <c r="L18" s="8"/>
      <c r="M18" s="8"/>
    </row>
    <row r="19" spans="1:13" ht="31.9" customHeight="1" x14ac:dyDescent="0.25">
      <c r="A19" s="8"/>
      <c r="B19" s="8"/>
      <c r="C19" s="80"/>
      <c r="D19" s="79" t="s">
        <v>12</v>
      </c>
      <c r="E19" s="14"/>
      <c r="F19" s="15"/>
      <c r="G19" s="14"/>
      <c r="H19" s="8"/>
      <c r="I19" s="8"/>
      <c r="J19" s="8"/>
      <c r="K19" s="8"/>
      <c r="L19" s="8"/>
      <c r="M19" s="8"/>
    </row>
    <row r="20" spans="1:13" x14ac:dyDescent="0.25">
      <c r="A20" s="8"/>
      <c r="B20" s="8"/>
      <c r="C20" s="16" t="s">
        <v>10</v>
      </c>
      <c r="D20" s="17" t="s">
        <v>11</v>
      </c>
      <c r="E20" s="18">
        <f>SUM(E10:E19)</f>
        <v>0</v>
      </c>
      <c r="F20" s="18">
        <f>SUM(F10:F19)</f>
        <v>0</v>
      </c>
      <c r="G20" s="19" t="str">
        <f>IF(F21&lt;&gt;0,"OJO ASIENTO NO CUADRA","")</f>
        <v/>
      </c>
      <c r="H20" s="8"/>
      <c r="I20" s="8"/>
      <c r="J20" s="8"/>
      <c r="K20" s="8"/>
      <c r="L20" s="8"/>
      <c r="M20" s="8"/>
    </row>
    <row r="21" spans="1:13" x14ac:dyDescent="0.25">
      <c r="A21" s="8"/>
      <c r="B21" s="8"/>
      <c r="C21" s="101"/>
      <c r="D21" s="102"/>
      <c r="E21" s="18"/>
      <c r="F21" s="18">
        <f>E20-F20</f>
        <v>0</v>
      </c>
      <c r="G21" s="10"/>
      <c r="H21" s="8"/>
      <c r="I21" s="8"/>
      <c r="J21" s="8"/>
      <c r="K21" s="8"/>
      <c r="L21" s="8"/>
      <c r="M21" s="8"/>
    </row>
    <row r="22" spans="1:13" x14ac:dyDescent="0.25">
      <c r="A22" s="8"/>
      <c r="B22" s="8"/>
      <c r="C22" s="103"/>
      <c r="D22" s="104"/>
      <c r="E22" s="10"/>
      <c r="F22" s="10"/>
      <c r="G22" s="10"/>
      <c r="H22" s="8"/>
      <c r="I22" s="8"/>
      <c r="J22" s="8"/>
      <c r="K22" s="8"/>
      <c r="L22" s="8"/>
      <c r="M22" s="8"/>
    </row>
    <row r="23" spans="1:13" x14ac:dyDescent="0.25">
      <c r="A23" s="8"/>
      <c r="B23" s="8"/>
      <c r="C23" s="103"/>
      <c r="D23" s="104"/>
      <c r="E23" s="10"/>
      <c r="F23" s="10"/>
      <c r="G23" s="10"/>
      <c r="H23" s="8"/>
      <c r="I23" s="8"/>
      <c r="J23" s="8"/>
      <c r="K23" s="8"/>
      <c r="L23" s="8"/>
      <c r="M23" s="8"/>
    </row>
    <row r="24" spans="1:13" x14ac:dyDescent="0.25">
      <c r="A24" s="8"/>
      <c r="B24" s="8"/>
      <c r="C24" s="105"/>
      <c r="D24" s="106"/>
      <c r="E24" s="10"/>
      <c r="F24" s="10"/>
      <c r="G24" s="10"/>
      <c r="H24" s="8"/>
      <c r="I24" s="8"/>
      <c r="J24" s="8"/>
      <c r="K24" s="8"/>
      <c r="L24" s="8"/>
      <c r="M24" s="8"/>
    </row>
    <row r="25" spans="1:13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1:13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1:13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1:13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1:13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1:13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56" spans="27:31" x14ac:dyDescent="0.25">
      <c r="AB56" s="2" t="s">
        <v>20</v>
      </c>
      <c r="AC56" s="23">
        <f>SUM(AC11:AC55)</f>
        <v>0</v>
      </c>
      <c r="AD56" s="23">
        <f>SUM(AD11:AD55)</f>
        <v>0</v>
      </c>
    </row>
    <row r="61" spans="27:31" x14ac:dyDescent="0.25">
      <c r="AA61" t="s">
        <v>22</v>
      </c>
      <c r="AC61" t="s">
        <v>21</v>
      </c>
      <c r="AE61" t="s">
        <v>23</v>
      </c>
    </row>
  </sheetData>
  <sheetProtection selectLockedCells="1"/>
  <mergeCells count="7">
    <mergeCell ref="C21:D24"/>
    <mergeCell ref="C1:G1"/>
    <mergeCell ref="AA1:AE1"/>
    <mergeCell ref="H2:L2"/>
    <mergeCell ref="AA3:AE3"/>
    <mergeCell ref="C6:G8"/>
    <mergeCell ref="AA6:AE9"/>
  </mergeCells>
  <pageMargins left="0.7" right="0.7" top="0.75" bottom="0.75" header="0.3" footer="0.3"/>
  <pageSetup scale="74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0</xdr:col>
                <xdr:colOff>361950</xdr:colOff>
                <xdr:row>9</xdr:row>
                <xdr:rowOff>38100</xdr:rowOff>
              </from>
              <to>
                <xdr:col>1</xdr:col>
                <xdr:colOff>561975</xdr:colOff>
                <xdr:row>11</xdr:row>
                <xdr:rowOff>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4</xdr:col>
                <xdr:colOff>66675</xdr:colOff>
                <xdr:row>22</xdr:row>
                <xdr:rowOff>0</xdr:rowOff>
              </from>
              <to>
                <xdr:col>5</xdr:col>
                <xdr:colOff>419100</xdr:colOff>
                <xdr:row>23</xdr:row>
                <xdr:rowOff>104775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5</xdr:col>
                <xdr:colOff>504825</xdr:colOff>
                <xdr:row>21</xdr:row>
                <xdr:rowOff>171450</xdr:rowOff>
              </from>
              <to>
                <xdr:col>6</xdr:col>
                <xdr:colOff>857250</xdr:colOff>
                <xdr:row>23</xdr:row>
                <xdr:rowOff>85725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942975</xdr:colOff>
                <xdr:row>21</xdr:row>
                <xdr:rowOff>161925</xdr:rowOff>
              </from>
              <to>
                <xdr:col>6</xdr:col>
                <xdr:colOff>2114550</xdr:colOff>
                <xdr:row>23</xdr:row>
                <xdr:rowOff>76200</xdr:rowOff>
              </to>
            </anchor>
          </controlPr>
        </control>
      </mc:Choice>
      <mc:Fallback>
        <control shapeId="8196" r:id="rId10" name="CommandButton4"/>
      </mc:Fallback>
    </mc:AlternateContent>
    <mc:AlternateContent xmlns:mc="http://schemas.openxmlformats.org/markup-compatibility/2006">
      <mc:Choice Requires="x14">
        <control shapeId="8197" r:id="rId12" name="List Box 5">
          <controlPr defaultSize="0" autoLine="0" autoPict="0">
            <anchor moveWithCells="1">
              <from>
                <xdr:col>7</xdr:col>
                <xdr:colOff>257175</xdr:colOff>
                <xdr:row>2</xdr:row>
                <xdr:rowOff>85725</xdr:rowOff>
              </from>
              <to>
                <xdr:col>11</xdr:col>
                <xdr:colOff>647700</xdr:colOff>
                <xdr:row>13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BFDAFDC-594B-4615-B918-377ADC67CA7B}">
            <xm:f>NOT(ISERROR(SEARCH($G$20,G20)))</xm:f>
            <xm:f>$G$20</xm:f>
            <x14:dxf>
              <fill>
                <patternFill>
                  <bgColor rgb="FFFFFF00"/>
                </patternFill>
              </fill>
            </x14:dxf>
          </x14:cfRule>
          <xm:sqref>G20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Hoja14!$A$1:$A$82</xm:f>
          </x14:formula1>
          <xm:sqref>C10:C19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2060"/>
  </sheetPr>
  <dimension ref="A1:AE66"/>
  <sheetViews>
    <sheetView showRowColHeaders="0" zoomScale="110" zoomScaleNormal="110" workbookViewId="0">
      <selection activeCell="H17" sqref="H17"/>
    </sheetView>
  </sheetViews>
  <sheetFormatPr baseColWidth="10" defaultRowHeight="15" x14ac:dyDescent="0.25"/>
  <cols>
    <col min="1" max="1" width="12.7109375" customWidth="1"/>
    <col min="2" max="2" width="12.28515625" customWidth="1"/>
    <col min="3" max="3" width="14.42578125" customWidth="1"/>
    <col min="4" max="4" width="22.28515625" customWidth="1"/>
    <col min="5" max="6" width="12.28515625" customWidth="1"/>
    <col min="7" max="7" width="33" customWidth="1"/>
    <col min="8" max="8" width="11.7109375" customWidth="1"/>
    <col min="27" max="27" width="19.7109375" customWidth="1"/>
    <col min="28" max="28" width="30.140625" customWidth="1"/>
    <col min="29" max="29" width="13.7109375" customWidth="1"/>
    <col min="30" max="30" width="18" customWidth="1"/>
    <col min="31" max="31" width="38.28515625" customWidth="1"/>
  </cols>
  <sheetData>
    <row r="1" spans="1:31" x14ac:dyDescent="0.25">
      <c r="A1" s="8"/>
      <c r="B1" s="8"/>
      <c r="C1" s="107" t="s">
        <v>27</v>
      </c>
      <c r="D1" s="107"/>
      <c r="E1" s="107"/>
      <c r="F1" s="107"/>
      <c r="G1" s="107"/>
      <c r="H1" s="8"/>
      <c r="I1" s="8"/>
      <c r="J1" s="8"/>
      <c r="K1" s="8"/>
      <c r="L1" s="8"/>
      <c r="M1" s="8"/>
      <c r="Q1">
        <v>17</v>
      </c>
      <c r="AA1" s="109"/>
      <c r="AB1" s="109"/>
      <c r="AC1" s="109"/>
      <c r="AD1" s="109"/>
      <c r="AE1" s="49" t="str">
        <f>MENU!C1</f>
        <v>NOMBRE DE LA EMPRESA: Sopas Catrachas</v>
      </c>
    </row>
    <row r="2" spans="1:31" x14ac:dyDescent="0.25">
      <c r="A2" s="8"/>
      <c r="B2" s="8"/>
      <c r="C2" s="9" t="s">
        <v>28</v>
      </c>
      <c r="D2" s="10">
        <f>MAX(DIARIO!D2:D1000)+1</f>
        <v>3</v>
      </c>
      <c r="E2" s="10"/>
      <c r="F2" s="10"/>
      <c r="G2" s="10"/>
      <c r="H2" s="108" t="s">
        <v>13</v>
      </c>
      <c r="I2" s="108"/>
      <c r="J2" s="108"/>
      <c r="K2" s="108"/>
      <c r="L2" s="108"/>
      <c r="M2" s="8"/>
      <c r="AA2" s="109"/>
      <c r="AB2" s="109"/>
      <c r="AC2" s="109"/>
      <c r="AD2" s="109"/>
    </row>
    <row r="3" spans="1:31" x14ac:dyDescent="0.25">
      <c r="A3" s="8"/>
      <c r="B3" s="8"/>
      <c r="C3" s="9" t="s">
        <v>29</v>
      </c>
      <c r="D3" s="47"/>
      <c r="E3" s="9" t="s">
        <v>8</v>
      </c>
      <c r="F3" s="60"/>
      <c r="G3" s="10"/>
      <c r="H3" s="8"/>
      <c r="I3" s="8"/>
      <c r="J3" s="8"/>
      <c r="K3" s="8"/>
      <c r="L3" s="8"/>
      <c r="M3" s="8"/>
      <c r="AA3" s="109"/>
      <c r="AB3" s="109"/>
      <c r="AC3" s="109"/>
      <c r="AD3" s="109"/>
      <c r="AE3" s="54" t="s">
        <v>353</v>
      </c>
    </row>
    <row r="4" spans="1:31" ht="21" x14ac:dyDescent="0.35">
      <c r="A4" s="8"/>
      <c r="B4" s="8"/>
      <c r="C4" s="9" t="s">
        <v>30</v>
      </c>
      <c r="D4" s="47"/>
      <c r="E4" s="10" t="s">
        <v>31</v>
      </c>
      <c r="F4" s="120"/>
      <c r="G4" s="121"/>
      <c r="H4" s="8"/>
      <c r="I4" s="8"/>
      <c r="J4" s="8"/>
      <c r="K4" s="8"/>
      <c r="L4" s="8"/>
      <c r="M4" s="8"/>
      <c r="AA4" s="109"/>
      <c r="AB4" s="109"/>
      <c r="AC4" s="109"/>
      <c r="AD4" s="109"/>
      <c r="AE4" s="48"/>
    </row>
    <row r="5" spans="1:31" ht="15.75" thickBot="1" x14ac:dyDescent="0.3">
      <c r="A5" s="8"/>
      <c r="B5" s="8"/>
      <c r="C5" s="10" t="s">
        <v>9</v>
      </c>
      <c r="D5" s="10"/>
      <c r="E5" s="10" t="s">
        <v>32</v>
      </c>
      <c r="F5" s="122"/>
      <c r="G5" s="123"/>
      <c r="H5" s="8"/>
      <c r="I5" s="8"/>
      <c r="J5" s="8"/>
      <c r="K5" s="8"/>
      <c r="L5" s="8"/>
      <c r="M5" s="8"/>
      <c r="AA5" s="109"/>
      <c r="AB5" s="109"/>
      <c r="AC5" s="109"/>
      <c r="AD5" s="109"/>
      <c r="AE5" s="27"/>
    </row>
    <row r="6" spans="1:31" x14ac:dyDescent="0.25">
      <c r="A6" s="8"/>
      <c r="B6" s="8"/>
      <c r="C6" s="95"/>
      <c r="D6" s="96"/>
      <c r="E6" s="96"/>
      <c r="F6" s="96"/>
      <c r="G6" s="97"/>
      <c r="H6" s="8"/>
      <c r="I6" s="8"/>
      <c r="J6" s="8"/>
      <c r="K6" s="8"/>
      <c r="L6" s="8"/>
      <c r="M6" s="8"/>
      <c r="AA6" s="109"/>
      <c r="AB6" s="109"/>
      <c r="AC6" s="109"/>
      <c r="AD6" s="109"/>
      <c r="AE6" s="50"/>
    </row>
    <row r="7" spans="1:31" x14ac:dyDescent="0.25">
      <c r="A7" s="8"/>
      <c r="B7" s="8"/>
      <c r="C7" s="98"/>
      <c r="D7" s="99"/>
      <c r="E7" s="99"/>
      <c r="F7" s="99"/>
      <c r="G7" s="100"/>
      <c r="H7" s="8"/>
      <c r="I7" s="8"/>
      <c r="J7" s="8"/>
      <c r="K7" s="8"/>
      <c r="L7" s="8"/>
      <c r="M7" s="8"/>
      <c r="AA7" s="109"/>
      <c r="AB7" s="109"/>
      <c r="AC7" s="109"/>
      <c r="AD7" s="109"/>
      <c r="AE7" s="51"/>
    </row>
    <row r="8" spans="1:31" ht="15.75" thickBot="1" x14ac:dyDescent="0.3">
      <c r="A8" s="8"/>
      <c r="B8" s="8"/>
      <c r="C8" s="125"/>
      <c r="D8" s="126"/>
      <c r="E8" s="126"/>
      <c r="F8" s="126"/>
      <c r="G8" s="127"/>
      <c r="H8" s="8"/>
      <c r="I8" s="8"/>
      <c r="J8" s="8"/>
      <c r="K8" s="8"/>
      <c r="L8" s="8"/>
      <c r="M8" s="8"/>
      <c r="AA8" s="109"/>
      <c r="AB8" s="109"/>
      <c r="AC8" s="109"/>
      <c r="AD8" s="109"/>
      <c r="AE8" s="51"/>
    </row>
    <row r="9" spans="1:31" ht="21" x14ac:dyDescent="0.4">
      <c r="A9" s="8"/>
      <c r="B9" s="8"/>
      <c r="C9" s="24" t="s">
        <v>0</v>
      </c>
      <c r="D9" s="24" t="s">
        <v>1</v>
      </c>
      <c r="E9" s="24" t="s">
        <v>2</v>
      </c>
      <c r="F9" s="24" t="s">
        <v>3</v>
      </c>
      <c r="G9" s="24" t="s">
        <v>4</v>
      </c>
      <c r="H9" s="8"/>
      <c r="I9" s="8"/>
      <c r="J9" s="8"/>
      <c r="K9" s="8"/>
      <c r="L9" s="8"/>
      <c r="M9" s="8"/>
      <c r="AA9" s="52"/>
      <c r="AB9" s="53"/>
      <c r="AC9" s="53"/>
      <c r="AD9" s="55" t="s">
        <v>354</v>
      </c>
      <c r="AE9" s="56">
        <f>D3</f>
        <v>0</v>
      </c>
    </row>
    <row r="10" spans="1:31" ht="14.45" x14ac:dyDescent="0.3">
      <c r="A10" s="8"/>
      <c r="B10" s="8"/>
      <c r="C10" s="43"/>
      <c r="D10" s="12" t="str">
        <f t="shared" ref="D10:D18" si="0">IF(C10&lt;&gt;"",VLOOKUP(C10,PLAN,2,0),"")</f>
        <v/>
      </c>
      <c r="E10" s="43"/>
      <c r="F10" s="45"/>
      <c r="G10" s="43"/>
      <c r="H10" s="8"/>
      <c r="I10" s="8"/>
      <c r="J10" s="8"/>
      <c r="K10" s="8"/>
      <c r="L10" s="8"/>
      <c r="M10" s="8"/>
      <c r="AA10" s="1" t="s">
        <v>9</v>
      </c>
      <c r="AD10" s="57" t="s">
        <v>8</v>
      </c>
      <c r="AE10" s="58">
        <f ca="1">TODAY()</f>
        <v>44221</v>
      </c>
    </row>
    <row r="11" spans="1:31" x14ac:dyDescent="0.25">
      <c r="A11" s="8"/>
      <c r="B11" s="8"/>
      <c r="C11" s="44"/>
      <c r="D11" s="13" t="str">
        <f t="shared" si="0"/>
        <v/>
      </c>
      <c r="E11" s="44"/>
      <c r="F11" s="46"/>
      <c r="G11" s="44"/>
      <c r="H11" s="8"/>
      <c r="I11" s="8"/>
      <c r="J11" s="8"/>
      <c r="K11" s="8"/>
      <c r="L11" s="8"/>
      <c r="M11" s="8"/>
      <c r="AA11" s="111">
        <f>C6</f>
        <v>0</v>
      </c>
      <c r="AB11" s="112"/>
      <c r="AC11" s="113"/>
      <c r="AD11" s="59" t="s">
        <v>355</v>
      </c>
      <c r="AE11" s="59">
        <f>F4</f>
        <v>0</v>
      </c>
    </row>
    <row r="12" spans="1:31" x14ac:dyDescent="0.25">
      <c r="A12" s="8"/>
      <c r="B12" s="8"/>
      <c r="C12" s="44"/>
      <c r="D12" s="13" t="str">
        <f t="shared" si="0"/>
        <v/>
      </c>
      <c r="E12" s="44"/>
      <c r="F12" s="46"/>
      <c r="G12" s="44"/>
      <c r="H12" s="8"/>
      <c r="I12" s="8"/>
      <c r="J12" s="8"/>
      <c r="K12" s="8"/>
      <c r="L12" s="8"/>
      <c r="M12" s="8"/>
      <c r="AA12" s="114"/>
      <c r="AB12" s="115"/>
      <c r="AC12" s="116"/>
      <c r="AD12" s="59" t="s">
        <v>356</v>
      </c>
      <c r="AE12" s="6">
        <f>F5</f>
        <v>0</v>
      </c>
    </row>
    <row r="13" spans="1:31" x14ac:dyDescent="0.25">
      <c r="A13" s="8"/>
      <c r="B13" s="8"/>
      <c r="C13" s="44"/>
      <c r="D13" s="13" t="str">
        <f t="shared" si="0"/>
        <v/>
      </c>
      <c r="E13" s="44"/>
      <c r="F13" s="46"/>
      <c r="G13" s="44"/>
      <c r="H13" s="8"/>
      <c r="I13" s="8"/>
      <c r="J13" s="8"/>
      <c r="K13" s="8"/>
      <c r="L13" s="8"/>
      <c r="M13" s="8"/>
      <c r="AA13" s="114"/>
      <c r="AB13" s="115"/>
      <c r="AC13" s="116"/>
      <c r="AD13" s="59" t="s">
        <v>357</v>
      </c>
      <c r="AE13" s="6">
        <f>D4</f>
        <v>0</v>
      </c>
    </row>
    <row r="14" spans="1:31" x14ac:dyDescent="0.25">
      <c r="A14" s="8"/>
      <c r="B14" s="8"/>
      <c r="C14" s="44"/>
      <c r="D14" s="13" t="str">
        <f t="shared" si="0"/>
        <v/>
      </c>
      <c r="E14" s="44"/>
      <c r="F14" s="46"/>
      <c r="G14" s="44"/>
      <c r="H14" s="8"/>
      <c r="I14" s="8"/>
      <c r="J14" s="8"/>
      <c r="K14" s="8"/>
      <c r="L14" s="8"/>
      <c r="M14" s="8"/>
      <c r="AA14" s="117"/>
      <c r="AB14" s="118"/>
      <c r="AC14" s="119"/>
      <c r="AD14" s="124"/>
      <c r="AE14" s="124"/>
    </row>
    <row r="15" spans="1:31" thickBot="1" x14ac:dyDescent="0.35">
      <c r="A15" s="8"/>
      <c r="B15" s="8"/>
      <c r="C15" s="44"/>
      <c r="D15" s="13" t="str">
        <f t="shared" si="0"/>
        <v/>
      </c>
      <c r="E15" s="44"/>
      <c r="F15" s="46"/>
      <c r="G15" s="44"/>
      <c r="H15" s="8"/>
      <c r="I15" s="8"/>
      <c r="J15" s="8"/>
      <c r="K15" s="8"/>
      <c r="L15" s="8"/>
      <c r="M15" s="8"/>
      <c r="AA15" s="22" t="s">
        <v>15</v>
      </c>
      <c r="AB15" s="22" t="s">
        <v>16</v>
      </c>
      <c r="AC15" s="22" t="s">
        <v>17</v>
      </c>
      <c r="AD15" s="22" t="s">
        <v>18</v>
      </c>
      <c r="AE15" s="22" t="s">
        <v>19</v>
      </c>
    </row>
    <row r="16" spans="1:31" ht="15.75" thickTop="1" x14ac:dyDescent="0.25">
      <c r="A16" s="8"/>
      <c r="B16" s="8"/>
      <c r="C16" s="44"/>
      <c r="D16" s="13" t="str">
        <f t="shared" si="0"/>
        <v/>
      </c>
      <c r="E16" s="44"/>
      <c r="F16" s="46"/>
      <c r="G16" s="44"/>
      <c r="H16" s="8"/>
      <c r="I16" s="8"/>
      <c r="J16" s="8"/>
      <c r="K16" s="8"/>
      <c r="L16" s="8"/>
      <c r="M16" s="8"/>
    </row>
    <row r="17" spans="1:13" x14ac:dyDescent="0.25">
      <c r="A17" s="8"/>
      <c r="B17" s="8"/>
      <c r="C17" s="44"/>
      <c r="D17" s="13" t="str">
        <f t="shared" si="0"/>
        <v/>
      </c>
      <c r="E17" s="44"/>
      <c r="F17" s="46"/>
      <c r="G17" s="44"/>
      <c r="H17" s="8"/>
      <c r="I17" s="8"/>
      <c r="J17" s="8"/>
      <c r="K17" s="8"/>
      <c r="L17" s="8"/>
      <c r="M17" s="8"/>
    </row>
    <row r="18" spans="1:13" x14ac:dyDescent="0.25">
      <c r="A18" s="8"/>
      <c r="B18" s="8"/>
      <c r="C18" s="44"/>
      <c r="D18" s="13" t="str">
        <f t="shared" si="0"/>
        <v/>
      </c>
      <c r="E18" s="44"/>
      <c r="F18" s="46"/>
      <c r="G18" s="44"/>
      <c r="H18" s="8"/>
      <c r="I18" s="8"/>
      <c r="J18" s="8"/>
      <c r="K18" s="8"/>
      <c r="L18" s="8"/>
      <c r="M18" s="8"/>
    </row>
    <row r="19" spans="1:13" ht="31.9" customHeight="1" x14ac:dyDescent="0.25">
      <c r="A19" s="8"/>
      <c r="B19" s="8"/>
      <c r="C19" s="80"/>
      <c r="D19" s="79" t="s">
        <v>12</v>
      </c>
      <c r="E19" s="14"/>
      <c r="F19" s="15"/>
      <c r="G19" s="14"/>
      <c r="H19" s="8"/>
      <c r="I19" s="8"/>
      <c r="J19" s="8"/>
      <c r="K19" s="8"/>
      <c r="L19" s="8"/>
      <c r="M19" s="8"/>
    </row>
    <row r="20" spans="1:13" x14ac:dyDescent="0.25">
      <c r="A20" s="8"/>
      <c r="B20" s="8"/>
      <c r="C20" s="16" t="s">
        <v>10</v>
      </c>
      <c r="D20" s="17" t="s">
        <v>11</v>
      </c>
      <c r="E20" s="18">
        <f>SUM(E10:E19)</f>
        <v>0</v>
      </c>
      <c r="F20" s="18">
        <f>SUM(F10:F19)</f>
        <v>0</v>
      </c>
      <c r="G20" s="19" t="str">
        <f>IF(F21&lt;&gt;0,"OJO ASIENTO NO CUADRA","")</f>
        <v/>
      </c>
      <c r="H20" s="8"/>
      <c r="I20" s="8"/>
      <c r="J20" s="8"/>
      <c r="K20" s="8"/>
      <c r="L20" s="8"/>
      <c r="M20" s="8"/>
    </row>
    <row r="21" spans="1:13" x14ac:dyDescent="0.25">
      <c r="A21" s="8"/>
      <c r="B21" s="8"/>
      <c r="C21" s="101"/>
      <c r="D21" s="102"/>
      <c r="E21" s="18"/>
      <c r="F21" s="18">
        <f>E20-F20</f>
        <v>0</v>
      </c>
      <c r="G21" s="10"/>
      <c r="H21" s="8"/>
      <c r="I21" s="8"/>
      <c r="J21" s="8"/>
      <c r="K21" s="8"/>
      <c r="L21" s="8"/>
      <c r="M21" s="8"/>
    </row>
    <row r="22" spans="1:13" x14ac:dyDescent="0.25">
      <c r="A22" s="8"/>
      <c r="B22" s="8"/>
      <c r="C22" s="103"/>
      <c r="D22" s="104"/>
      <c r="E22" s="10"/>
      <c r="F22" s="10"/>
      <c r="G22" s="10"/>
      <c r="H22" s="8"/>
      <c r="I22" s="8"/>
      <c r="J22" s="8"/>
      <c r="K22" s="8"/>
      <c r="L22" s="8"/>
      <c r="M22" s="8"/>
    </row>
    <row r="23" spans="1:13" x14ac:dyDescent="0.25">
      <c r="A23" s="8"/>
      <c r="B23" s="8"/>
      <c r="C23" s="103"/>
      <c r="D23" s="104"/>
      <c r="E23" s="10"/>
      <c r="F23" s="10"/>
      <c r="G23" s="10"/>
      <c r="H23" s="8"/>
      <c r="I23" s="8"/>
      <c r="J23" s="8"/>
      <c r="K23" s="8"/>
      <c r="L23" s="8"/>
      <c r="M23" s="8"/>
    </row>
    <row r="24" spans="1:13" x14ac:dyDescent="0.25">
      <c r="A24" s="8"/>
      <c r="B24" s="8"/>
      <c r="C24" s="105"/>
      <c r="D24" s="106"/>
      <c r="E24" s="10"/>
      <c r="F24" s="10"/>
      <c r="G24" s="10"/>
      <c r="H24" s="8"/>
      <c r="I24" s="8"/>
      <c r="J24" s="8"/>
      <c r="K24" s="8"/>
      <c r="L24" s="8"/>
      <c r="M24" s="8"/>
    </row>
    <row r="25" spans="1:13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1:13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1:13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1:13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1:13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1:13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61" spans="28:30" x14ac:dyDescent="0.25">
      <c r="AB61" s="2" t="s">
        <v>20</v>
      </c>
      <c r="AC61" s="23">
        <f>SUM(AC16:AC60)</f>
        <v>0</v>
      </c>
      <c r="AD61" s="23">
        <f>SUM(AD16:AD60)</f>
        <v>0</v>
      </c>
    </row>
    <row r="66" spans="27:31" x14ac:dyDescent="0.25">
      <c r="AA66" t="s">
        <v>22</v>
      </c>
      <c r="AC66" t="s">
        <v>21</v>
      </c>
      <c r="AE66" t="s">
        <v>23</v>
      </c>
    </row>
  </sheetData>
  <sheetProtection selectLockedCells="1"/>
  <mergeCells count="9">
    <mergeCell ref="C21:D24"/>
    <mergeCell ref="F4:G4"/>
    <mergeCell ref="F5:G5"/>
    <mergeCell ref="AA1:AD8"/>
    <mergeCell ref="AA11:AC14"/>
    <mergeCell ref="AD14:AE14"/>
    <mergeCell ref="C1:G1"/>
    <mergeCell ref="H2:L2"/>
    <mergeCell ref="C6:G8"/>
  </mergeCells>
  <pageMargins left="0.7" right="0.7" top="0.75" bottom="0.75" header="0.3" footer="0.3"/>
  <pageSetup scale="67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0</xdr:col>
                <xdr:colOff>361950</xdr:colOff>
                <xdr:row>9</xdr:row>
                <xdr:rowOff>38100</xdr:rowOff>
              </from>
              <to>
                <xdr:col>1</xdr:col>
                <xdr:colOff>561975</xdr:colOff>
                <xdr:row>11</xdr:row>
                <xdr:rowOff>9525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4</xdr:col>
                <xdr:colOff>66675</xdr:colOff>
                <xdr:row>22</xdr:row>
                <xdr:rowOff>0</xdr:rowOff>
              </from>
              <to>
                <xdr:col>5</xdr:col>
                <xdr:colOff>419100</xdr:colOff>
                <xdr:row>23</xdr:row>
                <xdr:rowOff>104775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5</xdr:col>
                <xdr:colOff>504825</xdr:colOff>
                <xdr:row>21</xdr:row>
                <xdr:rowOff>171450</xdr:rowOff>
              </from>
              <to>
                <xdr:col>6</xdr:col>
                <xdr:colOff>857250</xdr:colOff>
                <xdr:row>23</xdr:row>
                <xdr:rowOff>85725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0" r:id="rId10" name="CommandButton4">
          <controlPr defaultSize="0" autoLine="0" r:id="rId11">
            <anchor moveWithCells="1">
              <from>
                <xdr:col>6</xdr:col>
                <xdr:colOff>942975</xdr:colOff>
                <xdr:row>21</xdr:row>
                <xdr:rowOff>161925</xdr:rowOff>
              </from>
              <to>
                <xdr:col>6</xdr:col>
                <xdr:colOff>2114550</xdr:colOff>
                <xdr:row>23</xdr:row>
                <xdr:rowOff>76200</xdr:rowOff>
              </to>
            </anchor>
          </controlPr>
        </control>
      </mc:Choice>
      <mc:Fallback>
        <control shapeId="9220" r:id="rId10" name="CommandButton4"/>
      </mc:Fallback>
    </mc:AlternateContent>
    <mc:AlternateContent xmlns:mc="http://schemas.openxmlformats.org/markup-compatibility/2006">
      <mc:Choice Requires="x14">
        <control shapeId="9221" r:id="rId12" name="List Box 5">
          <controlPr defaultSize="0" autoLine="0" autoPict="0">
            <anchor moveWithCells="1">
              <from>
                <xdr:col>7</xdr:col>
                <xdr:colOff>304800</xdr:colOff>
                <xdr:row>2</xdr:row>
                <xdr:rowOff>85725</xdr:rowOff>
              </from>
              <to>
                <xdr:col>11</xdr:col>
                <xdr:colOff>647700</xdr:colOff>
                <xdr:row>12</xdr:row>
                <xdr:rowOff>85725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3FF155E-A6BA-4482-830A-E766F10BE429}">
            <xm:f>NOT(ISERROR(SEARCH($G$20,G20)))</xm:f>
            <xm:f>$G$20</xm:f>
            <x14:dxf>
              <fill>
                <patternFill>
                  <bgColor rgb="FFFFFF00"/>
                </patternFill>
              </fill>
            </x14:dxf>
          </x14:cfRule>
          <xm:sqref>G20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Hoja14!$A$1:$A$82</xm:f>
          </x14:formula1>
          <xm:sqref>C10:C19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AE61"/>
  <sheetViews>
    <sheetView showRowColHeaders="0" zoomScale="110" zoomScaleNormal="110" workbookViewId="0">
      <selection activeCell="D16" sqref="D16"/>
    </sheetView>
  </sheetViews>
  <sheetFormatPr baseColWidth="10" defaultRowHeight="15" x14ac:dyDescent="0.25"/>
  <cols>
    <col min="1" max="1" width="12.7109375" customWidth="1"/>
    <col min="2" max="2" width="12.28515625" customWidth="1"/>
    <col min="3" max="3" width="14.42578125" customWidth="1"/>
    <col min="4" max="4" width="22.28515625" customWidth="1"/>
    <col min="5" max="6" width="12.28515625" customWidth="1"/>
    <col min="7" max="7" width="33" customWidth="1"/>
    <col min="8" max="8" width="11.7109375" customWidth="1"/>
    <col min="27" max="27" width="14.85546875" customWidth="1"/>
    <col min="28" max="28" width="27.28515625" customWidth="1"/>
    <col min="29" max="30" width="13.28515625" customWidth="1"/>
    <col min="31" max="31" width="34.140625" customWidth="1"/>
  </cols>
  <sheetData>
    <row r="1" spans="1:31" ht="14.45" x14ac:dyDescent="0.3">
      <c r="A1" s="8"/>
      <c r="B1" s="8"/>
      <c r="C1" s="107" t="s">
        <v>33</v>
      </c>
      <c r="D1" s="107"/>
      <c r="E1" s="107"/>
      <c r="F1" s="107"/>
      <c r="G1" s="107"/>
      <c r="H1" s="8"/>
      <c r="I1" s="8"/>
      <c r="J1" s="8"/>
      <c r="K1" s="8"/>
      <c r="L1" s="8"/>
      <c r="M1" s="8"/>
      <c r="AA1" s="109" t="str">
        <f>MENU!C1</f>
        <v>NOMBRE DE LA EMPRESA: Sopas Catrachas</v>
      </c>
      <c r="AB1" s="109"/>
      <c r="AC1" s="109"/>
      <c r="AD1" s="109"/>
      <c r="AE1" s="109"/>
    </row>
    <row r="2" spans="1:31" ht="14.45" x14ac:dyDescent="0.3">
      <c r="A2" s="8"/>
      <c r="B2" s="8"/>
      <c r="C2" s="9" t="s">
        <v>34</v>
      </c>
      <c r="D2" s="10">
        <f>MAX(DIARIO!E2:E1000)+1</f>
        <v>1</v>
      </c>
      <c r="E2" s="10"/>
      <c r="F2" s="10"/>
      <c r="G2" s="10"/>
      <c r="H2" s="108" t="s">
        <v>13</v>
      </c>
      <c r="I2" s="108"/>
      <c r="J2" s="108"/>
      <c r="K2" s="108"/>
      <c r="L2" s="108"/>
      <c r="M2" s="8"/>
    </row>
    <row r="3" spans="1:31" ht="14.45" x14ac:dyDescent="0.3">
      <c r="A3" s="8"/>
      <c r="B3" s="8"/>
      <c r="C3" s="9" t="s">
        <v>35</v>
      </c>
      <c r="D3" s="47"/>
      <c r="E3" s="9" t="s">
        <v>8</v>
      </c>
      <c r="F3" s="47"/>
      <c r="G3" s="10"/>
      <c r="H3" s="8"/>
      <c r="I3" s="8"/>
      <c r="J3" s="8"/>
      <c r="K3" s="8"/>
      <c r="L3" s="8"/>
      <c r="M3" s="8"/>
      <c r="AA3" s="110" t="str">
        <f>C1</f>
        <v>NOTA DE DEBITO</v>
      </c>
      <c r="AB3" s="110"/>
      <c r="AC3" s="110"/>
      <c r="AD3" s="110"/>
      <c r="AE3" s="110"/>
    </row>
    <row r="4" spans="1:31" ht="21" x14ac:dyDescent="0.4">
      <c r="A4" s="8"/>
      <c r="B4" s="8"/>
      <c r="C4" s="10"/>
      <c r="D4" s="10"/>
      <c r="E4" s="10"/>
      <c r="F4" s="10"/>
      <c r="G4" s="10"/>
      <c r="H4" s="8"/>
      <c r="I4" s="8"/>
      <c r="J4" s="8"/>
      <c r="K4" s="8"/>
      <c r="L4" s="8"/>
      <c r="M4" s="8"/>
      <c r="AD4" s="21" t="s">
        <v>14</v>
      </c>
      <c r="AE4" s="48">
        <f>D3</f>
        <v>0</v>
      </c>
    </row>
    <row r="5" spans="1:31" thickBot="1" x14ac:dyDescent="0.35">
      <c r="A5" s="8"/>
      <c r="B5" s="8"/>
      <c r="C5" s="10" t="s">
        <v>9</v>
      </c>
      <c r="D5" s="10"/>
      <c r="E5" s="10"/>
      <c r="F5" s="10"/>
      <c r="G5" s="10"/>
      <c r="H5" s="8"/>
      <c r="I5" s="8"/>
      <c r="J5" s="8"/>
      <c r="K5" s="8"/>
      <c r="L5" s="8"/>
      <c r="M5" s="8"/>
      <c r="AA5" t="s">
        <v>9</v>
      </c>
      <c r="AD5" s="3" t="s">
        <v>8</v>
      </c>
      <c r="AE5" s="27">
        <f>F3</f>
        <v>0</v>
      </c>
    </row>
    <row r="6" spans="1:31" x14ac:dyDescent="0.25">
      <c r="A6" s="8"/>
      <c r="B6" s="8"/>
      <c r="C6" s="95"/>
      <c r="D6" s="96"/>
      <c r="E6" s="96"/>
      <c r="F6" s="96"/>
      <c r="G6" s="97"/>
      <c r="H6" s="8"/>
      <c r="I6" s="8"/>
      <c r="J6" s="8"/>
      <c r="K6" s="8"/>
      <c r="L6" s="8"/>
      <c r="M6" s="8"/>
      <c r="AA6" s="111">
        <f>C6</f>
        <v>0</v>
      </c>
      <c r="AB6" s="112"/>
      <c r="AC6" s="112"/>
      <c r="AD6" s="112"/>
      <c r="AE6" s="113"/>
    </row>
    <row r="7" spans="1:31" x14ac:dyDescent="0.25">
      <c r="A7" s="8"/>
      <c r="B7" s="8"/>
      <c r="C7" s="98"/>
      <c r="D7" s="99"/>
      <c r="E7" s="99"/>
      <c r="F7" s="99"/>
      <c r="G7" s="100"/>
      <c r="H7" s="8"/>
      <c r="I7" s="8"/>
      <c r="J7" s="8"/>
      <c r="K7" s="8"/>
      <c r="L7" s="8"/>
      <c r="M7" s="8"/>
      <c r="AA7" s="114"/>
      <c r="AB7" s="115"/>
      <c r="AC7" s="115"/>
      <c r="AD7" s="115"/>
      <c r="AE7" s="116"/>
    </row>
    <row r="8" spans="1:31" x14ac:dyDescent="0.25">
      <c r="A8" s="8"/>
      <c r="B8" s="8"/>
      <c r="C8" s="98"/>
      <c r="D8" s="99"/>
      <c r="E8" s="99"/>
      <c r="F8" s="99"/>
      <c r="G8" s="100"/>
      <c r="H8" s="8"/>
      <c r="I8" s="8"/>
      <c r="J8" s="8"/>
      <c r="K8" s="8"/>
      <c r="L8" s="8"/>
      <c r="M8" s="8"/>
      <c r="AA8" s="114"/>
      <c r="AB8" s="115"/>
      <c r="AC8" s="115"/>
      <c r="AD8" s="115"/>
      <c r="AE8" s="116"/>
    </row>
    <row r="9" spans="1:31" x14ac:dyDescent="0.25">
      <c r="A9" s="8"/>
      <c r="B9" s="8"/>
      <c r="C9" s="11" t="s">
        <v>0</v>
      </c>
      <c r="D9" s="11" t="s">
        <v>1</v>
      </c>
      <c r="E9" s="11" t="s">
        <v>2</v>
      </c>
      <c r="F9" s="11" t="s">
        <v>3</v>
      </c>
      <c r="G9" s="11" t="s">
        <v>4</v>
      </c>
      <c r="H9" s="8"/>
      <c r="I9" s="8"/>
      <c r="J9" s="8"/>
      <c r="K9" s="8"/>
      <c r="L9" s="8"/>
      <c r="M9" s="8"/>
      <c r="AA9" s="117"/>
      <c r="AB9" s="118"/>
      <c r="AC9" s="118"/>
      <c r="AD9" s="118"/>
      <c r="AE9" s="119"/>
    </row>
    <row r="10" spans="1:31" thickBot="1" x14ac:dyDescent="0.35">
      <c r="A10" s="8"/>
      <c r="B10" s="8"/>
      <c r="C10" s="43"/>
      <c r="D10" s="12" t="str">
        <f t="shared" ref="D10:D18" si="0">IF(C10&lt;&gt;"",VLOOKUP(C10,PLAN,2,0),"")</f>
        <v/>
      </c>
      <c r="E10" s="43"/>
      <c r="F10" s="45"/>
      <c r="G10" s="43"/>
      <c r="H10" s="8"/>
      <c r="I10" s="8"/>
      <c r="J10" s="8"/>
      <c r="K10" s="8"/>
      <c r="L10" s="8"/>
      <c r="M10" s="8"/>
      <c r="AA10" s="22" t="s">
        <v>15</v>
      </c>
      <c r="AB10" s="22" t="s">
        <v>16</v>
      </c>
      <c r="AC10" s="22" t="s">
        <v>17</v>
      </c>
      <c r="AD10" s="22" t="s">
        <v>18</v>
      </c>
      <c r="AE10" s="22" t="s">
        <v>19</v>
      </c>
    </row>
    <row r="11" spans="1:31" thickTop="1" x14ac:dyDescent="0.3">
      <c r="A11" s="8"/>
      <c r="B11" s="8"/>
      <c r="C11" s="44"/>
      <c r="D11" s="13" t="str">
        <f t="shared" si="0"/>
        <v/>
      </c>
      <c r="E11" s="44"/>
      <c r="F11" s="46"/>
      <c r="G11" s="44"/>
      <c r="H11" s="8"/>
      <c r="I11" s="8"/>
      <c r="J11" s="8"/>
      <c r="K11" s="8"/>
      <c r="L11" s="8"/>
      <c r="M11" s="8"/>
    </row>
    <row r="12" spans="1:31" ht="14.45" x14ac:dyDescent="0.3">
      <c r="A12" s="8"/>
      <c r="B12" s="8"/>
      <c r="C12" s="44"/>
      <c r="D12" s="13" t="str">
        <f t="shared" si="0"/>
        <v/>
      </c>
      <c r="E12" s="44"/>
      <c r="F12" s="46"/>
      <c r="G12" s="44"/>
      <c r="H12" s="8"/>
      <c r="I12" s="8"/>
      <c r="J12" s="8"/>
      <c r="K12" s="8"/>
      <c r="L12" s="8"/>
      <c r="M12" s="8"/>
    </row>
    <row r="13" spans="1:31" ht="14.45" x14ac:dyDescent="0.3">
      <c r="A13" s="8"/>
      <c r="B13" s="8"/>
      <c r="C13" s="44"/>
      <c r="D13" s="13" t="str">
        <f t="shared" si="0"/>
        <v/>
      </c>
      <c r="E13" s="44"/>
      <c r="F13" s="46"/>
      <c r="G13" s="44"/>
      <c r="H13" s="8"/>
      <c r="I13" s="8"/>
      <c r="J13" s="8"/>
      <c r="K13" s="8"/>
      <c r="L13" s="8"/>
      <c r="M13" s="8"/>
    </row>
    <row r="14" spans="1:31" ht="14.45" x14ac:dyDescent="0.3">
      <c r="A14" s="8"/>
      <c r="B14" s="8"/>
      <c r="C14" s="44"/>
      <c r="D14" s="13" t="str">
        <f t="shared" si="0"/>
        <v/>
      </c>
      <c r="E14" s="44"/>
      <c r="F14" s="46"/>
      <c r="G14" s="44"/>
      <c r="H14" s="8"/>
      <c r="I14" s="8"/>
      <c r="J14" s="8"/>
      <c r="K14" s="8"/>
      <c r="L14" s="8"/>
      <c r="M14" s="8"/>
    </row>
    <row r="15" spans="1:31" ht="14.45" x14ac:dyDescent="0.3">
      <c r="A15" s="8"/>
      <c r="B15" s="8"/>
      <c r="C15" s="44"/>
      <c r="D15" s="13" t="str">
        <f t="shared" si="0"/>
        <v/>
      </c>
      <c r="E15" s="44"/>
      <c r="F15" s="46"/>
      <c r="G15" s="44"/>
      <c r="H15" s="8"/>
      <c r="I15" s="8"/>
      <c r="J15" s="8"/>
      <c r="K15" s="8"/>
      <c r="L15" s="8"/>
      <c r="M15" s="8"/>
    </row>
    <row r="16" spans="1:31" ht="14.45" x14ac:dyDescent="0.3">
      <c r="A16" s="8"/>
      <c r="B16" s="8"/>
      <c r="C16" s="44"/>
      <c r="D16" s="13" t="str">
        <f t="shared" si="0"/>
        <v/>
      </c>
      <c r="E16" s="44"/>
      <c r="F16" s="46"/>
      <c r="G16" s="44"/>
      <c r="H16" s="8"/>
      <c r="I16" s="8"/>
      <c r="J16" s="8"/>
      <c r="K16" s="8"/>
      <c r="L16" s="8"/>
      <c r="M16" s="8"/>
    </row>
    <row r="17" spans="1:13" x14ac:dyDescent="0.25">
      <c r="A17" s="8"/>
      <c r="B17" s="8"/>
      <c r="C17" s="44"/>
      <c r="D17" s="13" t="str">
        <f t="shared" si="0"/>
        <v/>
      </c>
      <c r="E17" s="44"/>
      <c r="F17" s="46"/>
      <c r="G17" s="44"/>
      <c r="H17" s="8"/>
      <c r="I17" s="8"/>
      <c r="J17" s="8"/>
      <c r="K17" s="8"/>
      <c r="L17" s="8"/>
      <c r="M17" s="8"/>
    </row>
    <row r="18" spans="1:13" x14ac:dyDescent="0.25">
      <c r="A18" s="8"/>
      <c r="B18" s="8"/>
      <c r="C18" s="44"/>
      <c r="D18" s="13" t="str">
        <f t="shared" si="0"/>
        <v/>
      </c>
      <c r="E18" s="44"/>
      <c r="F18" s="46"/>
      <c r="G18" s="44"/>
      <c r="H18" s="8"/>
      <c r="I18" s="8"/>
      <c r="J18" s="8"/>
      <c r="K18" s="8"/>
      <c r="L18" s="8"/>
      <c r="M18" s="8"/>
    </row>
    <row r="19" spans="1:13" ht="31.9" customHeight="1" x14ac:dyDescent="0.25">
      <c r="A19" s="8"/>
      <c r="B19" s="8"/>
      <c r="C19" s="80"/>
      <c r="D19" s="79" t="s">
        <v>12</v>
      </c>
      <c r="E19" s="14"/>
      <c r="F19" s="15"/>
      <c r="G19" s="14"/>
      <c r="H19" s="8"/>
      <c r="I19" s="8"/>
      <c r="J19" s="8"/>
      <c r="K19" s="8"/>
      <c r="L19" s="8"/>
      <c r="M19" s="8"/>
    </row>
    <row r="20" spans="1:13" x14ac:dyDescent="0.25">
      <c r="A20" s="8"/>
      <c r="B20" s="8"/>
      <c r="C20" s="16" t="s">
        <v>10</v>
      </c>
      <c r="D20" s="17" t="s">
        <v>11</v>
      </c>
      <c r="E20" s="18">
        <f>SUM(E10:E19)</f>
        <v>0</v>
      </c>
      <c r="F20" s="18">
        <f>SUM(F10:F19)</f>
        <v>0</v>
      </c>
      <c r="G20" s="19" t="str">
        <f>IF(F21&lt;&gt;0,"OJO ASIENTO NO CUADRA","")</f>
        <v/>
      </c>
      <c r="H20" s="8"/>
      <c r="I20" s="8"/>
      <c r="J20" s="8"/>
      <c r="K20" s="8"/>
      <c r="L20" s="8"/>
      <c r="M20" s="8"/>
    </row>
    <row r="21" spans="1:13" x14ac:dyDescent="0.25">
      <c r="A21" s="8"/>
      <c r="B21" s="8"/>
      <c r="C21" s="101"/>
      <c r="D21" s="102"/>
      <c r="E21" s="18"/>
      <c r="F21" s="18">
        <f>E20-F20</f>
        <v>0</v>
      </c>
      <c r="G21" s="10"/>
      <c r="H21" s="8"/>
      <c r="I21" s="8"/>
      <c r="J21" s="8"/>
      <c r="K21" s="8"/>
      <c r="L21" s="8"/>
      <c r="M21" s="8"/>
    </row>
    <row r="22" spans="1:13" x14ac:dyDescent="0.25">
      <c r="A22" s="8"/>
      <c r="B22" s="8"/>
      <c r="C22" s="103"/>
      <c r="D22" s="104"/>
      <c r="E22" s="10"/>
      <c r="F22" s="10"/>
      <c r="G22" s="10"/>
      <c r="H22" s="8"/>
      <c r="I22" s="8"/>
      <c r="J22" s="8"/>
      <c r="K22" s="8"/>
      <c r="L22" s="8"/>
      <c r="M22" s="8"/>
    </row>
    <row r="23" spans="1:13" x14ac:dyDescent="0.25">
      <c r="A23" s="8"/>
      <c r="B23" s="8"/>
      <c r="C23" s="103"/>
      <c r="D23" s="104"/>
      <c r="E23" s="10"/>
      <c r="F23" s="10"/>
      <c r="G23" s="10"/>
      <c r="H23" s="8"/>
      <c r="I23" s="8"/>
      <c r="J23" s="8"/>
      <c r="K23" s="8"/>
      <c r="L23" s="8"/>
      <c r="M23" s="8"/>
    </row>
    <row r="24" spans="1:13" x14ac:dyDescent="0.25">
      <c r="A24" s="8"/>
      <c r="B24" s="8"/>
      <c r="C24" s="105"/>
      <c r="D24" s="106"/>
      <c r="E24" s="10"/>
      <c r="F24" s="10"/>
      <c r="G24" s="10"/>
      <c r="H24" s="8"/>
      <c r="I24" s="8"/>
      <c r="J24" s="8"/>
      <c r="K24" s="8"/>
      <c r="L24" s="8"/>
      <c r="M24" s="8"/>
    </row>
    <row r="25" spans="1:13" x14ac:dyDescent="0.25">
      <c r="A25" s="7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8"/>
      <c r="M25" s="8"/>
    </row>
    <row r="26" spans="1:13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1:13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1:13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1:13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1:13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56" spans="27:31" x14ac:dyDescent="0.25">
      <c r="AB56" s="2" t="s">
        <v>20</v>
      </c>
      <c r="AC56" s="23">
        <f>SUM(AC11:AC55)</f>
        <v>0</v>
      </c>
      <c r="AD56" s="23">
        <f>SUM(AD11:AD55)</f>
        <v>0</v>
      </c>
    </row>
    <row r="61" spans="27:31" x14ac:dyDescent="0.25">
      <c r="AA61" t="s">
        <v>22</v>
      </c>
      <c r="AC61" t="s">
        <v>21</v>
      </c>
      <c r="AE61" t="s">
        <v>23</v>
      </c>
    </row>
  </sheetData>
  <sheetProtection selectLockedCells="1"/>
  <mergeCells count="7">
    <mergeCell ref="C21:D24"/>
    <mergeCell ref="C1:G1"/>
    <mergeCell ref="AA1:AE1"/>
    <mergeCell ref="H2:L2"/>
    <mergeCell ref="AA3:AE3"/>
    <mergeCell ref="C6:G8"/>
    <mergeCell ref="AA6:AE9"/>
  </mergeCells>
  <pageMargins left="0.7" right="0.7" top="0.75" bottom="0.75" header="0.3" footer="0.3"/>
  <pageSetup scale="74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0</xdr:col>
                <xdr:colOff>361950</xdr:colOff>
                <xdr:row>9</xdr:row>
                <xdr:rowOff>38100</xdr:rowOff>
              </from>
              <to>
                <xdr:col>1</xdr:col>
                <xdr:colOff>561975</xdr:colOff>
                <xdr:row>11</xdr:row>
                <xdr:rowOff>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4</xdr:col>
                <xdr:colOff>66675</xdr:colOff>
                <xdr:row>22</xdr:row>
                <xdr:rowOff>0</xdr:rowOff>
              </from>
              <to>
                <xdr:col>5</xdr:col>
                <xdr:colOff>419100</xdr:colOff>
                <xdr:row>23</xdr:row>
                <xdr:rowOff>104775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5</xdr:col>
                <xdr:colOff>504825</xdr:colOff>
                <xdr:row>21</xdr:row>
                <xdr:rowOff>171450</xdr:rowOff>
              </from>
              <to>
                <xdr:col>6</xdr:col>
                <xdr:colOff>857250</xdr:colOff>
                <xdr:row>23</xdr:row>
                <xdr:rowOff>85725</xdr:rowOff>
              </to>
            </anchor>
          </controlPr>
        </control>
      </mc:Choice>
      <mc:Fallback>
        <control shapeId="10243" r:id="rId8" name="CommandButton3"/>
      </mc:Fallback>
    </mc:AlternateContent>
    <mc:AlternateContent xmlns:mc="http://schemas.openxmlformats.org/markup-compatibility/2006">
      <mc:Choice Requires="x14">
        <control shapeId="10244" r:id="rId10" name="CommandButton4">
          <controlPr defaultSize="0" autoLine="0" r:id="rId11">
            <anchor moveWithCells="1">
              <from>
                <xdr:col>6</xdr:col>
                <xdr:colOff>942975</xdr:colOff>
                <xdr:row>21</xdr:row>
                <xdr:rowOff>161925</xdr:rowOff>
              </from>
              <to>
                <xdr:col>6</xdr:col>
                <xdr:colOff>2114550</xdr:colOff>
                <xdr:row>23</xdr:row>
                <xdr:rowOff>76200</xdr:rowOff>
              </to>
            </anchor>
          </controlPr>
        </control>
      </mc:Choice>
      <mc:Fallback>
        <control shapeId="10244" r:id="rId10" name="CommandButton4"/>
      </mc:Fallback>
    </mc:AlternateContent>
    <mc:AlternateContent xmlns:mc="http://schemas.openxmlformats.org/markup-compatibility/2006">
      <mc:Choice Requires="x14">
        <control shapeId="10245" r:id="rId12" name="List Box 5">
          <controlPr defaultSize="0" autoLine="0" autoPict="0">
            <anchor moveWithCells="1">
              <from>
                <xdr:col>7</xdr:col>
                <xdr:colOff>180975</xdr:colOff>
                <xdr:row>2</xdr:row>
                <xdr:rowOff>85725</xdr:rowOff>
              </from>
              <to>
                <xdr:col>11</xdr:col>
                <xdr:colOff>590550</xdr:colOff>
                <xdr:row>14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80E9F9A-C645-4A9C-860F-86DD9ECB798A}">
            <xm:f>NOT(ISERROR(SEARCH($G$20,G20)))</xm:f>
            <xm:f>$G$20</xm:f>
            <x14:dxf>
              <fill>
                <patternFill>
                  <bgColor rgb="FFFFFF00"/>
                </patternFill>
              </fill>
            </x14:dxf>
          </x14:cfRule>
          <xm:sqref>G20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Hoja14!$A$1:$A$82</xm:f>
          </x14:formula1>
          <xm:sqref>C10:C19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E61"/>
  <sheetViews>
    <sheetView showRowColHeaders="0" zoomScale="110" zoomScaleNormal="110" workbookViewId="0">
      <selection activeCell="B14" sqref="B14"/>
    </sheetView>
  </sheetViews>
  <sheetFormatPr baseColWidth="10" defaultRowHeight="15" x14ac:dyDescent="0.25"/>
  <cols>
    <col min="1" max="1" width="12.7109375" customWidth="1"/>
    <col min="2" max="2" width="12.28515625" customWidth="1"/>
    <col min="3" max="3" width="15.5703125" customWidth="1"/>
    <col min="4" max="4" width="24.5703125" customWidth="1"/>
    <col min="5" max="6" width="12.28515625" customWidth="1"/>
    <col min="7" max="7" width="35.7109375" customWidth="1"/>
    <col min="8" max="8" width="11.7109375" customWidth="1"/>
    <col min="27" max="27" width="14.85546875" customWidth="1"/>
    <col min="28" max="28" width="27.28515625" customWidth="1"/>
    <col min="29" max="30" width="13.28515625" customWidth="1"/>
    <col min="31" max="31" width="34.140625" customWidth="1"/>
  </cols>
  <sheetData>
    <row r="1" spans="1:31" ht="14.45" x14ac:dyDescent="0.3">
      <c r="A1" s="8"/>
      <c r="B1" s="8"/>
      <c r="C1" s="107" t="s">
        <v>36</v>
      </c>
      <c r="D1" s="107"/>
      <c r="E1" s="107"/>
      <c r="F1" s="107"/>
      <c r="G1" s="107"/>
      <c r="H1" s="8"/>
      <c r="I1" s="8"/>
      <c r="J1" s="8"/>
      <c r="K1" s="8"/>
      <c r="L1" s="8"/>
      <c r="M1" s="8"/>
      <c r="AA1" s="109" t="str">
        <f>MENU!C1</f>
        <v>NOMBRE DE LA EMPRESA: Sopas Catrachas</v>
      </c>
      <c r="AB1" s="109"/>
      <c r="AC1" s="109"/>
      <c r="AD1" s="109"/>
      <c r="AE1" s="109"/>
    </row>
    <row r="2" spans="1:31" ht="14.45" x14ac:dyDescent="0.3">
      <c r="A2" s="8"/>
      <c r="B2" s="8"/>
      <c r="C2" s="9" t="s">
        <v>37</v>
      </c>
      <c r="D2" s="10">
        <f>MAX(DIARIO!F2:F1000)+1</f>
        <v>1</v>
      </c>
      <c r="E2" s="10"/>
      <c r="F2" s="10"/>
      <c r="G2" s="10"/>
      <c r="H2" s="108" t="s">
        <v>13</v>
      </c>
      <c r="I2" s="108"/>
      <c r="J2" s="108"/>
      <c r="K2" s="108"/>
      <c r="L2" s="108"/>
      <c r="M2" s="8"/>
    </row>
    <row r="3" spans="1:31" ht="14.45" x14ac:dyDescent="0.3">
      <c r="A3" s="8"/>
      <c r="B3" s="8"/>
      <c r="C3" s="9" t="s">
        <v>38</v>
      </c>
      <c r="D3" s="47"/>
      <c r="E3" s="9" t="s">
        <v>8</v>
      </c>
      <c r="F3" s="47"/>
      <c r="G3" s="10"/>
      <c r="H3" s="8"/>
      <c r="I3" s="8"/>
      <c r="J3" s="8"/>
      <c r="K3" s="8"/>
      <c r="L3" s="8"/>
      <c r="M3" s="8"/>
      <c r="AA3" s="110" t="str">
        <f>C1</f>
        <v>NOTA DE CREDITO</v>
      </c>
      <c r="AB3" s="110"/>
      <c r="AC3" s="110"/>
      <c r="AD3" s="110"/>
      <c r="AE3" s="110"/>
    </row>
    <row r="4" spans="1:31" ht="21" x14ac:dyDescent="0.4">
      <c r="A4" s="8"/>
      <c r="B4" s="8"/>
      <c r="C4" s="10"/>
      <c r="D4" s="10"/>
      <c r="E4" s="10"/>
      <c r="F4" s="10"/>
      <c r="G4" s="10"/>
      <c r="H4" s="8"/>
      <c r="I4" s="8"/>
      <c r="J4" s="8"/>
      <c r="K4" s="8"/>
      <c r="L4" s="8"/>
      <c r="M4" s="8"/>
      <c r="AD4" s="21" t="s">
        <v>14</v>
      </c>
      <c r="AE4" s="48">
        <f>D3</f>
        <v>0</v>
      </c>
    </row>
    <row r="5" spans="1:31" thickBot="1" x14ac:dyDescent="0.35">
      <c r="A5" s="8"/>
      <c r="B5" s="8"/>
      <c r="C5" s="10" t="s">
        <v>9</v>
      </c>
      <c r="D5" s="10"/>
      <c r="E5" s="10"/>
      <c r="F5" s="10"/>
      <c r="G5" s="10"/>
      <c r="H5" s="8"/>
      <c r="I5" s="8"/>
      <c r="J5" s="8"/>
      <c r="K5" s="8"/>
      <c r="L5" s="8"/>
      <c r="M5" s="8"/>
      <c r="AA5" t="s">
        <v>9</v>
      </c>
      <c r="AD5" s="3" t="s">
        <v>8</v>
      </c>
      <c r="AE5" s="27">
        <f>F3</f>
        <v>0</v>
      </c>
    </row>
    <row r="6" spans="1:31" x14ac:dyDescent="0.25">
      <c r="A6" s="8"/>
      <c r="B6" s="8"/>
      <c r="C6" s="95"/>
      <c r="D6" s="96"/>
      <c r="E6" s="96"/>
      <c r="F6" s="96"/>
      <c r="G6" s="97"/>
      <c r="H6" s="8"/>
      <c r="I6" s="8"/>
      <c r="J6" s="8"/>
      <c r="K6" s="8"/>
      <c r="L6" s="8"/>
      <c r="M6" s="8"/>
      <c r="AA6" s="111">
        <f>C6</f>
        <v>0</v>
      </c>
      <c r="AB6" s="112"/>
      <c r="AC6" s="112"/>
      <c r="AD6" s="112"/>
      <c r="AE6" s="113"/>
    </row>
    <row r="7" spans="1:31" x14ac:dyDescent="0.25">
      <c r="A7" s="8"/>
      <c r="B7" s="8"/>
      <c r="C7" s="98"/>
      <c r="D7" s="99"/>
      <c r="E7" s="99"/>
      <c r="F7" s="99"/>
      <c r="G7" s="100"/>
      <c r="H7" s="8"/>
      <c r="I7" s="8"/>
      <c r="J7" s="8"/>
      <c r="K7" s="8"/>
      <c r="L7" s="8"/>
      <c r="M7" s="8"/>
      <c r="AA7" s="114"/>
      <c r="AB7" s="115"/>
      <c r="AC7" s="115"/>
      <c r="AD7" s="115"/>
      <c r="AE7" s="116"/>
    </row>
    <row r="8" spans="1:31" x14ac:dyDescent="0.25">
      <c r="A8" s="8"/>
      <c r="B8" s="8"/>
      <c r="C8" s="98"/>
      <c r="D8" s="99"/>
      <c r="E8" s="99"/>
      <c r="F8" s="99"/>
      <c r="G8" s="100"/>
      <c r="H8" s="8"/>
      <c r="I8" s="8"/>
      <c r="J8" s="8"/>
      <c r="K8" s="8"/>
      <c r="L8" s="8"/>
      <c r="M8" s="8"/>
      <c r="AA8" s="114"/>
      <c r="AB8" s="115"/>
      <c r="AC8" s="115"/>
      <c r="AD8" s="115"/>
      <c r="AE8" s="116"/>
    </row>
    <row r="9" spans="1:31" x14ac:dyDescent="0.25">
      <c r="A9" s="8"/>
      <c r="B9" s="8"/>
      <c r="C9" s="11" t="s">
        <v>0</v>
      </c>
      <c r="D9" s="11" t="s">
        <v>1</v>
      </c>
      <c r="E9" s="11" t="s">
        <v>2</v>
      </c>
      <c r="F9" s="11" t="s">
        <v>3</v>
      </c>
      <c r="G9" s="11" t="s">
        <v>4</v>
      </c>
      <c r="H9" s="8"/>
      <c r="I9" s="8"/>
      <c r="J9" s="8"/>
      <c r="K9" s="8"/>
      <c r="L9" s="8"/>
      <c r="M9" s="8"/>
      <c r="AA9" s="117"/>
      <c r="AB9" s="118"/>
      <c r="AC9" s="118"/>
      <c r="AD9" s="118"/>
      <c r="AE9" s="119"/>
    </row>
    <row r="10" spans="1:31" thickBot="1" x14ac:dyDescent="0.35">
      <c r="A10" s="8"/>
      <c r="B10" s="8"/>
      <c r="C10" s="43"/>
      <c r="D10" s="12" t="str">
        <f t="shared" ref="D10:D18" si="0">IF(C10&lt;&gt;"",VLOOKUP(C10,PLAN,2,0),"")</f>
        <v/>
      </c>
      <c r="E10" s="43"/>
      <c r="F10" s="45"/>
      <c r="G10" s="43"/>
      <c r="H10" s="8"/>
      <c r="I10" s="8"/>
      <c r="J10" s="8"/>
      <c r="K10" s="8"/>
      <c r="L10" s="8"/>
      <c r="M10" s="8"/>
      <c r="AA10" s="22" t="s">
        <v>15</v>
      </c>
      <c r="AB10" s="22" t="s">
        <v>16</v>
      </c>
      <c r="AC10" s="22" t="s">
        <v>17</v>
      </c>
      <c r="AD10" s="22" t="s">
        <v>18</v>
      </c>
      <c r="AE10" s="22" t="s">
        <v>19</v>
      </c>
    </row>
    <row r="11" spans="1:31" thickTop="1" x14ac:dyDescent="0.3">
      <c r="A11" s="8"/>
      <c r="B11" s="8"/>
      <c r="C11" s="44"/>
      <c r="D11" s="13" t="str">
        <f t="shared" si="0"/>
        <v/>
      </c>
      <c r="E11" s="44"/>
      <c r="F11" s="46"/>
      <c r="G11" s="44"/>
      <c r="H11" s="8"/>
      <c r="I11" s="8"/>
      <c r="J11" s="8"/>
      <c r="K11" s="8"/>
      <c r="L11" s="8"/>
      <c r="M11" s="8"/>
    </row>
    <row r="12" spans="1:31" ht="14.45" x14ac:dyDescent="0.3">
      <c r="A12" s="8"/>
      <c r="B12" s="8"/>
      <c r="C12" s="44"/>
      <c r="D12" s="13" t="str">
        <f t="shared" si="0"/>
        <v/>
      </c>
      <c r="E12" s="44"/>
      <c r="F12" s="46"/>
      <c r="G12" s="44"/>
      <c r="H12" s="8"/>
      <c r="I12" s="8"/>
      <c r="J12" s="8"/>
      <c r="K12" s="8"/>
      <c r="L12" s="8"/>
      <c r="M12" s="8"/>
    </row>
    <row r="13" spans="1:31" ht="14.45" x14ac:dyDescent="0.3">
      <c r="A13" s="8"/>
      <c r="B13" s="8"/>
      <c r="C13" s="44"/>
      <c r="D13" s="13" t="str">
        <f t="shared" si="0"/>
        <v/>
      </c>
      <c r="E13" s="44"/>
      <c r="F13" s="46"/>
      <c r="G13" s="44"/>
      <c r="H13" s="8"/>
      <c r="I13" s="8"/>
      <c r="J13" s="8"/>
      <c r="K13" s="8"/>
      <c r="L13" s="8"/>
      <c r="M13" s="8"/>
    </row>
    <row r="14" spans="1:31" ht="14.45" x14ac:dyDescent="0.3">
      <c r="A14" s="8"/>
      <c r="B14" s="8"/>
      <c r="C14" s="44"/>
      <c r="D14" s="13" t="str">
        <f t="shared" si="0"/>
        <v/>
      </c>
      <c r="E14" s="44"/>
      <c r="F14" s="46"/>
      <c r="G14" s="44"/>
      <c r="H14" s="8"/>
      <c r="I14" s="8"/>
      <c r="J14" s="8"/>
      <c r="K14" s="8"/>
      <c r="L14" s="8"/>
      <c r="M14" s="8"/>
    </row>
    <row r="15" spans="1:31" ht="14.45" x14ac:dyDescent="0.3">
      <c r="A15" s="8"/>
      <c r="B15" s="8"/>
      <c r="C15" s="44"/>
      <c r="D15" s="13" t="str">
        <f t="shared" si="0"/>
        <v/>
      </c>
      <c r="E15" s="44"/>
      <c r="F15" s="46"/>
      <c r="G15" s="44"/>
      <c r="H15" s="8"/>
      <c r="I15" s="8"/>
      <c r="J15" s="8"/>
      <c r="K15" s="8"/>
      <c r="L15" s="8"/>
      <c r="M15" s="8"/>
    </row>
    <row r="16" spans="1:31" ht="14.45" x14ac:dyDescent="0.3">
      <c r="A16" s="8"/>
      <c r="B16" s="8"/>
      <c r="C16" s="44"/>
      <c r="D16" s="13" t="str">
        <f t="shared" si="0"/>
        <v/>
      </c>
      <c r="E16" s="44"/>
      <c r="F16" s="46"/>
      <c r="G16" s="44"/>
      <c r="H16" s="8"/>
      <c r="I16" s="8"/>
      <c r="J16" s="8"/>
      <c r="K16" s="8"/>
      <c r="L16" s="8"/>
      <c r="M16" s="8"/>
    </row>
    <row r="17" spans="1:13" x14ac:dyDescent="0.25">
      <c r="A17" s="8"/>
      <c r="B17" s="8"/>
      <c r="C17" s="44"/>
      <c r="D17" s="13" t="str">
        <f t="shared" si="0"/>
        <v/>
      </c>
      <c r="E17" s="44"/>
      <c r="F17" s="46"/>
      <c r="G17" s="44"/>
      <c r="H17" s="8"/>
      <c r="I17" s="8"/>
      <c r="J17" s="8"/>
      <c r="K17" s="8"/>
      <c r="L17" s="8"/>
      <c r="M17" s="8"/>
    </row>
    <row r="18" spans="1:13" x14ac:dyDescent="0.25">
      <c r="A18" s="8"/>
      <c r="B18" s="8"/>
      <c r="C18" s="44"/>
      <c r="D18" s="13" t="str">
        <f t="shared" si="0"/>
        <v/>
      </c>
      <c r="E18" s="44"/>
      <c r="F18" s="46"/>
      <c r="G18" s="44"/>
      <c r="H18" s="8"/>
      <c r="I18" s="8"/>
      <c r="J18" s="8"/>
      <c r="K18" s="8"/>
      <c r="L18" s="8"/>
      <c r="M18" s="8"/>
    </row>
    <row r="19" spans="1:13" ht="31.9" customHeight="1" x14ac:dyDescent="0.25">
      <c r="A19" s="8"/>
      <c r="B19" s="8"/>
      <c r="C19" s="80"/>
      <c r="D19" s="79" t="s">
        <v>12</v>
      </c>
      <c r="E19" s="14"/>
      <c r="F19" s="15"/>
      <c r="G19" s="14"/>
      <c r="H19" s="8"/>
      <c r="I19" s="8"/>
      <c r="J19" s="8"/>
      <c r="K19" s="8"/>
      <c r="L19" s="8"/>
      <c r="M19" s="8"/>
    </row>
    <row r="20" spans="1:13" x14ac:dyDescent="0.25">
      <c r="A20" s="8"/>
      <c r="B20" s="8"/>
      <c r="C20" s="16" t="s">
        <v>10</v>
      </c>
      <c r="D20" s="17" t="s">
        <v>11</v>
      </c>
      <c r="E20" s="18">
        <f>SUM(E10:E19)</f>
        <v>0</v>
      </c>
      <c r="F20" s="18">
        <f>SUM(F10:F19)</f>
        <v>0</v>
      </c>
      <c r="G20" s="19" t="str">
        <f>IF(F21&lt;&gt;0,"OJO ASIENTO NO CUADRA","")</f>
        <v/>
      </c>
      <c r="H20" s="8"/>
      <c r="I20" s="8"/>
      <c r="J20" s="8"/>
      <c r="K20" s="8"/>
      <c r="L20" s="8"/>
      <c r="M20" s="8"/>
    </row>
    <row r="21" spans="1:13" x14ac:dyDescent="0.25">
      <c r="A21" s="8"/>
      <c r="B21" s="8"/>
      <c r="C21" s="101"/>
      <c r="D21" s="102"/>
      <c r="E21" s="18"/>
      <c r="F21" s="18">
        <f>E20-F20</f>
        <v>0</v>
      </c>
      <c r="G21" s="10"/>
      <c r="H21" s="8"/>
      <c r="I21" s="8"/>
      <c r="J21" s="8"/>
      <c r="K21" s="8"/>
      <c r="L21" s="8"/>
      <c r="M21" s="8"/>
    </row>
    <row r="22" spans="1:13" x14ac:dyDescent="0.25">
      <c r="A22" s="8"/>
      <c r="B22" s="8"/>
      <c r="C22" s="103"/>
      <c r="D22" s="104"/>
      <c r="E22" s="10"/>
      <c r="F22" s="10"/>
      <c r="G22" s="10"/>
      <c r="H22" s="8"/>
      <c r="I22" s="8"/>
      <c r="J22" s="8"/>
      <c r="K22" s="8"/>
      <c r="L22" s="8"/>
      <c r="M22" s="8"/>
    </row>
    <row r="23" spans="1:13" x14ac:dyDescent="0.25">
      <c r="A23" s="8"/>
      <c r="B23" s="8"/>
      <c r="C23" s="103"/>
      <c r="D23" s="104"/>
      <c r="E23" s="10"/>
      <c r="F23" s="10"/>
      <c r="G23" s="10"/>
      <c r="H23" s="8"/>
      <c r="I23" s="8"/>
      <c r="J23" s="8"/>
      <c r="K23" s="8"/>
      <c r="L23" s="8"/>
      <c r="M23" s="8"/>
    </row>
    <row r="24" spans="1:13" x14ac:dyDescent="0.25">
      <c r="A24" s="8"/>
      <c r="B24" s="8"/>
      <c r="C24" s="105"/>
      <c r="D24" s="106"/>
      <c r="E24" s="10"/>
      <c r="F24" s="10"/>
      <c r="G24" s="10"/>
      <c r="H24" s="8"/>
      <c r="I24" s="8"/>
      <c r="J24" s="8"/>
      <c r="K24" s="8"/>
      <c r="L24" s="8"/>
      <c r="M24" s="8"/>
    </row>
    <row r="25" spans="1:13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1:13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1:13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1:13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1:13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1:13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56" spans="27:31" x14ac:dyDescent="0.25">
      <c r="AB56" s="2" t="s">
        <v>20</v>
      </c>
      <c r="AC56" s="23">
        <f>SUM(AC11:AC55)</f>
        <v>0</v>
      </c>
      <c r="AD56" s="23">
        <f>SUM(AD11:AD55)</f>
        <v>0</v>
      </c>
    </row>
    <row r="61" spans="27:31" x14ac:dyDescent="0.25">
      <c r="AA61" t="s">
        <v>22</v>
      </c>
      <c r="AC61" t="s">
        <v>21</v>
      </c>
      <c r="AE61" t="s">
        <v>23</v>
      </c>
    </row>
  </sheetData>
  <sheetProtection selectLockedCells="1"/>
  <mergeCells count="7">
    <mergeCell ref="C21:D24"/>
    <mergeCell ref="C1:G1"/>
    <mergeCell ref="AA1:AE1"/>
    <mergeCell ref="H2:L2"/>
    <mergeCell ref="AA3:AE3"/>
    <mergeCell ref="C6:G8"/>
    <mergeCell ref="AA6:AE9"/>
  </mergeCells>
  <pageMargins left="0.7" right="0.7" top="0.75" bottom="0.75" header="0.3" footer="0.3"/>
  <pageSetup scale="74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0</xdr:col>
                <xdr:colOff>361950</xdr:colOff>
                <xdr:row>9</xdr:row>
                <xdr:rowOff>38100</xdr:rowOff>
              </from>
              <to>
                <xdr:col>1</xdr:col>
                <xdr:colOff>561975</xdr:colOff>
                <xdr:row>11</xdr:row>
                <xdr:rowOff>0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4</xdr:col>
                <xdr:colOff>66675</xdr:colOff>
                <xdr:row>22</xdr:row>
                <xdr:rowOff>0</xdr:rowOff>
              </from>
              <to>
                <xdr:col>5</xdr:col>
                <xdr:colOff>419100</xdr:colOff>
                <xdr:row>23</xdr:row>
                <xdr:rowOff>104775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ommandButton3">
          <controlPr defaultSize="0" autoLine="0" r:id="rId9">
            <anchor moveWithCells="1">
              <from>
                <xdr:col>5</xdr:col>
                <xdr:colOff>504825</xdr:colOff>
                <xdr:row>21</xdr:row>
                <xdr:rowOff>171450</xdr:rowOff>
              </from>
              <to>
                <xdr:col>6</xdr:col>
                <xdr:colOff>857250</xdr:colOff>
                <xdr:row>23</xdr:row>
                <xdr:rowOff>85725</xdr:rowOff>
              </to>
            </anchor>
          </controlPr>
        </control>
      </mc:Choice>
      <mc:Fallback>
        <control shapeId="11267" r:id="rId8" name="CommandButton3"/>
      </mc:Fallback>
    </mc:AlternateContent>
    <mc:AlternateContent xmlns:mc="http://schemas.openxmlformats.org/markup-compatibility/2006">
      <mc:Choice Requires="x14">
        <control shapeId="11268" r:id="rId10" name="CommandButton4">
          <controlPr defaultSize="0" autoLine="0" r:id="rId11">
            <anchor moveWithCells="1">
              <from>
                <xdr:col>6</xdr:col>
                <xdr:colOff>942975</xdr:colOff>
                <xdr:row>21</xdr:row>
                <xdr:rowOff>161925</xdr:rowOff>
              </from>
              <to>
                <xdr:col>6</xdr:col>
                <xdr:colOff>2114550</xdr:colOff>
                <xdr:row>23</xdr:row>
                <xdr:rowOff>76200</xdr:rowOff>
              </to>
            </anchor>
          </controlPr>
        </control>
      </mc:Choice>
      <mc:Fallback>
        <control shapeId="11268" r:id="rId10" name="CommandButton4"/>
      </mc:Fallback>
    </mc:AlternateContent>
    <mc:AlternateContent xmlns:mc="http://schemas.openxmlformats.org/markup-compatibility/2006">
      <mc:Choice Requires="x14">
        <control shapeId="11269" r:id="rId12" name="List Box 5">
          <controlPr defaultSize="0" autoLine="0" autoPict="0">
            <anchor moveWithCells="1">
              <from>
                <xdr:col>7</xdr:col>
                <xdr:colOff>152400</xdr:colOff>
                <xdr:row>2</xdr:row>
                <xdr:rowOff>76200</xdr:rowOff>
              </from>
              <to>
                <xdr:col>11</xdr:col>
                <xdr:colOff>190500</xdr:colOff>
                <xdr:row>12</xdr:row>
                <xdr:rowOff>133350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201B10C-FFD0-4026-9FC9-FC7F31C6869E}">
            <xm:f>NOT(ISERROR(SEARCH($G$20,G20)))</xm:f>
            <xm:f>$G$20</xm:f>
            <x14:dxf>
              <fill>
                <patternFill>
                  <bgColor rgb="FFFFFF00"/>
                </patternFill>
              </fill>
            </x14:dxf>
          </x14:cfRule>
          <xm:sqref>G20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Hoja14!$A$1:$A$82</xm:f>
          </x14:formula1>
          <xm:sqref>C10:C19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49"/>
  <sheetViews>
    <sheetView zoomScale="72" zoomScaleNormal="72" workbookViewId="0">
      <selection activeCell="R26" sqref="R26"/>
    </sheetView>
  </sheetViews>
  <sheetFormatPr baseColWidth="10" defaultRowHeight="15" x14ac:dyDescent="0.25"/>
  <cols>
    <col min="2" max="2" width="7.42578125" customWidth="1"/>
    <col min="3" max="3" width="7.7109375" customWidth="1"/>
    <col min="4" max="4" width="7.5703125" customWidth="1"/>
    <col min="5" max="5" width="6.85546875" customWidth="1"/>
    <col min="6" max="6" width="6.5703125" customWidth="1"/>
    <col min="7" max="7" width="11.85546875" customWidth="1"/>
    <col min="8" max="8" width="34.5703125" customWidth="1"/>
    <col min="9" max="9" width="44.7109375" customWidth="1"/>
  </cols>
  <sheetData>
    <row r="1" spans="1:12" thickBot="1" x14ac:dyDescent="0.35">
      <c r="A1" s="25" t="s">
        <v>39</v>
      </c>
      <c r="B1" s="25" t="s">
        <v>40</v>
      </c>
      <c r="C1" s="25" t="s">
        <v>41</v>
      </c>
      <c r="D1" s="25" t="s">
        <v>42</v>
      </c>
      <c r="E1" s="25" t="s">
        <v>43</v>
      </c>
      <c r="F1" s="25" t="s">
        <v>44</v>
      </c>
      <c r="G1" s="25" t="s">
        <v>15</v>
      </c>
      <c r="H1" s="25" t="s">
        <v>45</v>
      </c>
      <c r="I1" s="25" t="s">
        <v>16</v>
      </c>
      <c r="J1" s="25" t="s">
        <v>17</v>
      </c>
      <c r="K1" s="25" t="s">
        <v>18</v>
      </c>
      <c r="L1" s="25" t="s">
        <v>19</v>
      </c>
    </row>
    <row r="2" spans="1:12" thickTop="1" x14ac:dyDescent="0.3">
      <c r="A2">
        <v>40940</v>
      </c>
      <c r="C2">
        <v>1</v>
      </c>
      <c r="G2" t="s">
        <v>275</v>
      </c>
      <c r="H2" t="s">
        <v>62</v>
      </c>
      <c r="I2" t="s">
        <v>358</v>
      </c>
      <c r="J2">
        <v>15000</v>
      </c>
      <c r="L2" s="82" t="s">
        <v>376</v>
      </c>
    </row>
    <row r="3" spans="1:12" ht="14.45" x14ac:dyDescent="0.3">
      <c r="A3">
        <v>40940</v>
      </c>
      <c r="C3">
        <v>1</v>
      </c>
      <c r="G3" t="s">
        <v>261</v>
      </c>
      <c r="H3" t="s">
        <v>89</v>
      </c>
      <c r="I3" t="s">
        <v>358</v>
      </c>
      <c r="K3">
        <v>15000</v>
      </c>
      <c r="L3" s="82" t="s">
        <v>376</v>
      </c>
    </row>
    <row r="4" spans="1:12" ht="14.45" x14ac:dyDescent="0.3">
      <c r="A4">
        <v>40940</v>
      </c>
      <c r="B4">
        <v>1</v>
      </c>
      <c r="G4" t="s">
        <v>276</v>
      </c>
      <c r="H4" t="s">
        <v>63</v>
      </c>
      <c r="I4" t="s">
        <v>359</v>
      </c>
      <c r="J4">
        <v>15000</v>
      </c>
      <c r="L4" s="82"/>
    </row>
    <row r="5" spans="1:12" ht="14.45" x14ac:dyDescent="0.3">
      <c r="A5">
        <v>40940</v>
      </c>
      <c r="B5">
        <v>1</v>
      </c>
      <c r="G5" t="s">
        <v>275</v>
      </c>
      <c r="H5" t="s">
        <v>62</v>
      </c>
      <c r="I5" t="s">
        <v>359</v>
      </c>
      <c r="K5">
        <v>15000</v>
      </c>
      <c r="L5" s="82"/>
    </row>
    <row r="6" spans="1:12" ht="14.45" x14ac:dyDescent="0.3">
      <c r="A6">
        <v>40959</v>
      </c>
      <c r="D6">
        <v>1</v>
      </c>
      <c r="G6" t="s">
        <v>251</v>
      </c>
      <c r="H6" t="s">
        <v>101</v>
      </c>
      <c r="I6" t="s">
        <v>360</v>
      </c>
      <c r="J6">
        <v>7200</v>
      </c>
      <c r="L6" s="82"/>
    </row>
    <row r="7" spans="1:12" ht="14.45" x14ac:dyDescent="0.3">
      <c r="A7">
        <v>40959</v>
      </c>
      <c r="D7">
        <v>1</v>
      </c>
      <c r="G7" t="s">
        <v>276</v>
      </c>
      <c r="H7" t="s">
        <v>63</v>
      </c>
      <c r="I7" t="s">
        <v>360</v>
      </c>
      <c r="K7">
        <v>7200</v>
      </c>
      <c r="L7" s="82"/>
    </row>
    <row r="8" spans="1:12" ht="14.45" x14ac:dyDescent="0.3">
      <c r="A8" t="s">
        <v>361</v>
      </c>
      <c r="D8">
        <v>2</v>
      </c>
      <c r="G8" t="s">
        <v>244</v>
      </c>
      <c r="H8" t="s">
        <v>109</v>
      </c>
      <c r="I8" t="s">
        <v>362</v>
      </c>
      <c r="J8">
        <v>150</v>
      </c>
      <c r="L8" s="82"/>
    </row>
    <row r="9" spans="1:12" ht="14.45" x14ac:dyDescent="0.3">
      <c r="A9" t="s">
        <v>361</v>
      </c>
      <c r="D9">
        <v>2</v>
      </c>
      <c r="G9" t="s">
        <v>276</v>
      </c>
      <c r="H9" t="s">
        <v>63</v>
      </c>
      <c r="I9" t="s">
        <v>362</v>
      </c>
      <c r="K9">
        <v>150</v>
      </c>
      <c r="L9" s="82"/>
    </row>
    <row r="10" spans="1:12" ht="14.45" x14ac:dyDescent="0.3">
      <c r="A10">
        <v>40983</v>
      </c>
      <c r="C10">
        <v>2</v>
      </c>
      <c r="G10" t="s">
        <v>275</v>
      </c>
      <c r="H10" t="s">
        <v>62</v>
      </c>
      <c r="I10" t="s">
        <v>363</v>
      </c>
      <c r="J10">
        <v>6000</v>
      </c>
      <c r="L10" s="82"/>
    </row>
    <row r="11" spans="1:12" ht="14.45" x14ac:dyDescent="0.3">
      <c r="A11">
        <v>40983</v>
      </c>
      <c r="C11">
        <v>2</v>
      </c>
      <c r="G11" t="s">
        <v>256</v>
      </c>
      <c r="H11" t="s">
        <v>95</v>
      </c>
      <c r="I11" t="s">
        <v>363</v>
      </c>
      <c r="K11">
        <v>6000</v>
      </c>
      <c r="L11" s="82"/>
    </row>
    <row r="12" spans="1:12" ht="14.45" x14ac:dyDescent="0.3">
      <c r="A12">
        <v>41029</v>
      </c>
      <c r="B12">
        <v>2</v>
      </c>
      <c r="G12" t="s">
        <v>276</v>
      </c>
      <c r="H12" t="s">
        <v>63</v>
      </c>
      <c r="I12" t="s">
        <v>364</v>
      </c>
      <c r="J12">
        <v>200000</v>
      </c>
      <c r="L12" s="82"/>
    </row>
    <row r="13" spans="1:12" ht="14.45" x14ac:dyDescent="0.3">
      <c r="A13">
        <v>41029</v>
      </c>
      <c r="B13">
        <v>2</v>
      </c>
      <c r="G13" t="s">
        <v>270</v>
      </c>
      <c r="H13" t="s">
        <v>230</v>
      </c>
      <c r="I13" t="s">
        <v>364</v>
      </c>
      <c r="K13">
        <v>200000</v>
      </c>
      <c r="L13" s="82"/>
    </row>
    <row r="14" spans="1:12" ht="14.45" x14ac:dyDescent="0.3">
      <c r="A14">
        <v>41011</v>
      </c>
      <c r="B14">
        <v>3</v>
      </c>
      <c r="G14" t="s">
        <v>339</v>
      </c>
      <c r="H14" t="s">
        <v>194</v>
      </c>
      <c r="I14" t="s">
        <v>365</v>
      </c>
      <c r="J14">
        <v>500000</v>
      </c>
      <c r="L14" s="82"/>
    </row>
    <row r="15" spans="1:12" ht="14.45" x14ac:dyDescent="0.3">
      <c r="A15">
        <v>41011</v>
      </c>
      <c r="B15">
        <v>3</v>
      </c>
      <c r="G15" t="s">
        <v>276</v>
      </c>
      <c r="H15" t="s">
        <v>63</v>
      </c>
      <c r="I15" t="s">
        <v>365</v>
      </c>
      <c r="K15">
        <v>500000</v>
      </c>
      <c r="L15" s="82"/>
    </row>
    <row r="16" spans="1:12" ht="14.45" x14ac:dyDescent="0.3">
      <c r="A16">
        <v>41424</v>
      </c>
      <c r="B16">
        <v>4</v>
      </c>
      <c r="G16" t="s">
        <v>278</v>
      </c>
      <c r="H16" t="s">
        <v>64</v>
      </c>
      <c r="I16" t="s">
        <v>366</v>
      </c>
      <c r="J16">
        <v>10000</v>
      </c>
      <c r="L16" s="82"/>
    </row>
    <row r="17" spans="1:12" ht="14.45" x14ac:dyDescent="0.3">
      <c r="A17">
        <v>41424</v>
      </c>
      <c r="B17">
        <v>4</v>
      </c>
      <c r="G17" t="s">
        <v>287</v>
      </c>
      <c r="H17" t="s">
        <v>159</v>
      </c>
      <c r="I17" t="s">
        <v>366</v>
      </c>
      <c r="K17">
        <v>10000</v>
      </c>
      <c r="L17" s="82"/>
    </row>
    <row r="18" spans="1:12" x14ac:dyDescent="0.25">
      <c r="G18" t="s">
        <v>251</v>
      </c>
      <c r="H18" t="s">
        <v>101</v>
      </c>
      <c r="J18">
        <v>65000</v>
      </c>
      <c r="L18" s="82"/>
    </row>
    <row r="19" spans="1:12" x14ac:dyDescent="0.25">
      <c r="G19" t="s">
        <v>276</v>
      </c>
      <c r="H19" t="s">
        <v>63</v>
      </c>
      <c r="K19">
        <v>65000</v>
      </c>
      <c r="L19" s="82"/>
    </row>
    <row r="20" spans="1:12" x14ac:dyDescent="0.25">
      <c r="G20" t="s">
        <v>339</v>
      </c>
      <c r="H20" t="s">
        <v>194</v>
      </c>
      <c r="J20">
        <v>9825400</v>
      </c>
      <c r="L20" s="82"/>
    </row>
    <row r="21" spans="1:12" x14ac:dyDescent="0.25">
      <c r="G21" t="s">
        <v>276</v>
      </c>
      <c r="H21" t="s">
        <v>63</v>
      </c>
      <c r="K21">
        <v>9825400</v>
      </c>
      <c r="L21" s="82"/>
    </row>
    <row r="22" spans="1:12" x14ac:dyDescent="0.25">
      <c r="L22" s="82"/>
    </row>
    <row r="23" spans="1:12" x14ac:dyDescent="0.25">
      <c r="L23" s="82"/>
    </row>
    <row r="24" spans="1:12" x14ac:dyDescent="0.25">
      <c r="L24" s="82"/>
    </row>
    <row r="25" spans="1:12" x14ac:dyDescent="0.25">
      <c r="L25" s="82"/>
    </row>
    <row r="26" spans="1:12" x14ac:dyDescent="0.25">
      <c r="L26" s="82"/>
    </row>
    <row r="27" spans="1:12" x14ac:dyDescent="0.25">
      <c r="L27" s="82"/>
    </row>
    <row r="28" spans="1:12" x14ac:dyDescent="0.25">
      <c r="L28" s="82"/>
    </row>
    <row r="29" spans="1:12" x14ac:dyDescent="0.25">
      <c r="L29" s="82"/>
    </row>
    <row r="30" spans="1:12" x14ac:dyDescent="0.25">
      <c r="L30" s="82"/>
    </row>
    <row r="31" spans="1:12" x14ac:dyDescent="0.25">
      <c r="L31" s="82"/>
    </row>
    <row r="32" spans="1:12" x14ac:dyDescent="0.25">
      <c r="L32" s="82"/>
    </row>
    <row r="33" spans="12:12" x14ac:dyDescent="0.25">
      <c r="L33" s="82"/>
    </row>
    <row r="34" spans="12:12" x14ac:dyDescent="0.25">
      <c r="L34" s="82"/>
    </row>
    <row r="35" spans="12:12" x14ac:dyDescent="0.25">
      <c r="L35" s="82"/>
    </row>
    <row r="36" spans="12:12" x14ac:dyDescent="0.25">
      <c r="L36" s="82"/>
    </row>
    <row r="37" spans="12:12" x14ac:dyDescent="0.25">
      <c r="L37" s="82"/>
    </row>
    <row r="38" spans="12:12" x14ac:dyDescent="0.25">
      <c r="L38" s="82"/>
    </row>
    <row r="39" spans="12:12" x14ac:dyDescent="0.25">
      <c r="L39" s="82"/>
    </row>
    <row r="40" spans="12:12" x14ac:dyDescent="0.25">
      <c r="L40" s="82"/>
    </row>
    <row r="41" spans="12:12" x14ac:dyDescent="0.25">
      <c r="L41" s="82"/>
    </row>
    <row r="42" spans="12:12" x14ac:dyDescent="0.25">
      <c r="L42" s="82"/>
    </row>
    <row r="43" spans="12:12" x14ac:dyDescent="0.25">
      <c r="L43" s="82"/>
    </row>
    <row r="44" spans="12:12" x14ac:dyDescent="0.25">
      <c r="L44" s="82"/>
    </row>
    <row r="45" spans="12:12" x14ac:dyDescent="0.25">
      <c r="L45" s="82"/>
    </row>
    <row r="46" spans="12:12" x14ac:dyDescent="0.25">
      <c r="L46" s="82"/>
    </row>
    <row r="47" spans="12:12" x14ac:dyDescent="0.25">
      <c r="L47" s="82"/>
    </row>
    <row r="48" spans="12:12" x14ac:dyDescent="0.25">
      <c r="L48" s="82"/>
    </row>
    <row r="49" spans="12:12" x14ac:dyDescent="0.25">
      <c r="L49" s="82"/>
    </row>
  </sheetData>
  <pageMargins left="0.7" right="0.7" top="0.75" bottom="0.75" header="0.3" footer="0.3"/>
  <pageSetup scale="71" orientation="landscape" horizontalDpi="300" verticalDpi="300" r:id="rId1"/>
  <headerFooter>
    <oddHeader>&amp;CDIARIO GENERAL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ARIO">
                <anchor moveWithCells="1" sizeWithCells="1">
                  <from>
                    <xdr:col>14</xdr:col>
                    <xdr:colOff>9525</xdr:colOff>
                    <xdr:row>1</xdr:row>
                    <xdr:rowOff>9525</xdr:rowOff>
                  </from>
                  <to>
                    <xdr:col>15</xdr:col>
                    <xdr:colOff>476250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N200"/>
  <sheetViews>
    <sheetView zoomScaleNormal="100" workbookViewId="0">
      <selection activeCell="M19" sqref="M19"/>
    </sheetView>
  </sheetViews>
  <sheetFormatPr baseColWidth="10" defaultRowHeight="15" x14ac:dyDescent="0.25"/>
  <cols>
    <col min="2" max="2" width="9.28515625" customWidth="1"/>
    <col min="3" max="3" width="8.5703125" customWidth="1"/>
    <col min="4" max="4" width="8.7109375" customWidth="1"/>
    <col min="5" max="5" width="9.28515625" customWidth="1"/>
    <col min="6" max="6" width="9.140625" customWidth="1"/>
    <col min="7" max="7" width="15" customWidth="1"/>
    <col min="8" max="8" width="45.5703125" customWidth="1"/>
    <col min="9" max="9" width="13" customWidth="1"/>
    <col min="10" max="10" width="13.140625" customWidth="1"/>
    <col min="11" max="11" width="14.140625" customWidth="1"/>
  </cols>
  <sheetData>
    <row r="2" spans="1:14" ht="14.45" x14ac:dyDescent="0.3">
      <c r="A2" t="s">
        <v>8</v>
      </c>
      <c r="B2" s="128">
        <f ca="1">TODAY()</f>
        <v>44221</v>
      </c>
      <c r="C2" s="128"/>
      <c r="D2" s="128"/>
      <c r="E2" s="128"/>
      <c r="F2" s="128"/>
    </row>
    <row r="4" spans="1:14" ht="14.45" x14ac:dyDescent="0.3">
      <c r="A4" s="110" t="str">
        <f>MENU!C1</f>
        <v>NOMBRE DE LA EMPRESA: Sopas Catrachas</v>
      </c>
      <c r="B4" s="110"/>
      <c r="C4" s="110"/>
      <c r="D4" s="110"/>
      <c r="E4" s="110"/>
      <c r="F4" s="110"/>
      <c r="G4" s="110"/>
      <c r="H4" s="110"/>
      <c r="I4" s="110"/>
      <c r="J4" s="110"/>
      <c r="K4" s="110"/>
    </row>
    <row r="6" spans="1:14" ht="14.45" x14ac:dyDescent="0.3">
      <c r="A6" s="110" t="s">
        <v>48</v>
      </c>
      <c r="B6" s="110"/>
      <c r="C6" s="110"/>
      <c r="D6" s="110"/>
      <c r="E6" s="110"/>
      <c r="F6" s="110"/>
      <c r="G6" s="110"/>
      <c r="H6" s="110"/>
      <c r="I6" s="110"/>
      <c r="J6" s="110"/>
      <c r="K6" s="110"/>
    </row>
    <row r="7" spans="1:14" ht="14.45" x14ac:dyDescent="0.3">
      <c r="G7" s="7" t="s">
        <v>49</v>
      </c>
      <c r="H7" t="str">
        <f>IF(MENU!G16&lt;&gt;"",VLOOKUP(MENU!G16,PLAN,1,0),"")</f>
        <v>2.1.1.2.</v>
      </c>
      <c r="I7" t="str">
        <f>IF(MENU!G16&lt;&gt;"",VLOOKUP(MENU!G16,PLAN,2,0),"")</f>
        <v>Acreedores Varios</v>
      </c>
    </row>
    <row r="9" spans="1:14" ht="15.75" thickBot="1" x14ac:dyDescent="0.3">
      <c r="A9" s="26" t="s">
        <v>39</v>
      </c>
      <c r="B9" s="26" t="s">
        <v>40</v>
      </c>
      <c r="C9" s="26" t="s">
        <v>46</v>
      </c>
      <c r="D9" s="26" t="s">
        <v>42</v>
      </c>
      <c r="E9" s="26" t="s">
        <v>43</v>
      </c>
      <c r="F9" s="26" t="s">
        <v>44</v>
      </c>
      <c r="G9" s="26" t="s">
        <v>15</v>
      </c>
      <c r="H9" s="26" t="s">
        <v>16</v>
      </c>
      <c r="I9" s="26" t="s">
        <v>17</v>
      </c>
      <c r="J9" s="26" t="s">
        <v>18</v>
      </c>
      <c r="K9" s="26" t="s">
        <v>47</v>
      </c>
    </row>
    <row r="10" spans="1:14" ht="15" customHeight="1" thickTop="1" x14ac:dyDescent="0.25">
      <c r="K10" s="37">
        <f>I10-J10</f>
        <v>0</v>
      </c>
      <c r="L10" s="129" t="s">
        <v>375</v>
      </c>
      <c r="M10" s="130"/>
      <c r="N10" s="131"/>
    </row>
    <row r="11" spans="1:14" x14ac:dyDescent="0.25">
      <c r="K11" s="37" t="str">
        <f>IF((I11-J11)&lt;&gt;0,(I11-J11+K10),"")</f>
        <v/>
      </c>
      <c r="L11" s="132"/>
      <c r="M11" s="133"/>
      <c r="N11" s="134"/>
    </row>
    <row r="12" spans="1:14" x14ac:dyDescent="0.25">
      <c r="K12" s="37" t="str">
        <f t="shared" ref="K12:K75" si="0">IF((I12-J12)&lt;&gt;0,(I12-J12+K11),"")</f>
        <v/>
      </c>
      <c r="L12" s="132"/>
      <c r="M12" s="133"/>
      <c r="N12" s="134"/>
    </row>
    <row r="13" spans="1:14" ht="15.75" thickBot="1" x14ac:dyDescent="0.3">
      <c r="K13" s="37" t="str">
        <f t="shared" si="0"/>
        <v/>
      </c>
      <c r="L13" s="135"/>
      <c r="M13" s="136"/>
      <c r="N13" s="137"/>
    </row>
    <row r="14" spans="1:14" ht="15.75" thickTop="1" x14ac:dyDescent="0.25">
      <c r="K14" s="37" t="str">
        <f t="shared" si="0"/>
        <v/>
      </c>
    </row>
    <row r="15" spans="1:14" ht="14.45" x14ac:dyDescent="0.3">
      <c r="K15" s="37" t="str">
        <f t="shared" si="0"/>
        <v/>
      </c>
    </row>
    <row r="16" spans="1:14" x14ac:dyDescent="0.25">
      <c r="K16" s="37" t="str">
        <f t="shared" si="0"/>
        <v/>
      </c>
    </row>
    <row r="17" spans="11:11" x14ac:dyDescent="0.25">
      <c r="K17" s="37" t="str">
        <f t="shared" si="0"/>
        <v/>
      </c>
    </row>
    <row r="18" spans="11:11" x14ac:dyDescent="0.25">
      <c r="K18" s="37" t="str">
        <f t="shared" si="0"/>
        <v/>
      </c>
    </row>
    <row r="19" spans="11:11" x14ac:dyDescent="0.25">
      <c r="K19" s="37" t="str">
        <f t="shared" si="0"/>
        <v/>
      </c>
    </row>
    <row r="20" spans="11:11" x14ac:dyDescent="0.25">
      <c r="K20" s="37" t="str">
        <f t="shared" si="0"/>
        <v/>
      </c>
    </row>
    <row r="21" spans="11:11" x14ac:dyDescent="0.25">
      <c r="K21" s="37" t="str">
        <f t="shared" si="0"/>
        <v/>
      </c>
    </row>
    <row r="22" spans="11:11" x14ac:dyDescent="0.25">
      <c r="K22" s="37" t="str">
        <f t="shared" si="0"/>
        <v/>
      </c>
    </row>
    <row r="23" spans="11:11" x14ac:dyDescent="0.25">
      <c r="K23" s="37" t="str">
        <f t="shared" si="0"/>
        <v/>
      </c>
    </row>
    <row r="24" spans="11:11" x14ac:dyDescent="0.25">
      <c r="K24" s="37" t="str">
        <f t="shared" si="0"/>
        <v/>
      </c>
    </row>
    <row r="25" spans="11:11" x14ac:dyDescent="0.25">
      <c r="K25" s="37" t="str">
        <f t="shared" si="0"/>
        <v/>
      </c>
    </row>
    <row r="26" spans="11:11" x14ac:dyDescent="0.25">
      <c r="K26" s="37" t="str">
        <f t="shared" si="0"/>
        <v/>
      </c>
    </row>
    <row r="27" spans="11:11" x14ac:dyDescent="0.25">
      <c r="K27" s="37" t="str">
        <f t="shared" si="0"/>
        <v/>
      </c>
    </row>
    <row r="28" spans="11:11" x14ac:dyDescent="0.25">
      <c r="K28" s="37" t="str">
        <f t="shared" si="0"/>
        <v/>
      </c>
    </row>
    <row r="29" spans="11:11" x14ac:dyDescent="0.25">
      <c r="K29" s="37" t="str">
        <f t="shared" si="0"/>
        <v/>
      </c>
    </row>
    <row r="30" spans="11:11" x14ac:dyDescent="0.25">
      <c r="K30" s="37" t="str">
        <f t="shared" si="0"/>
        <v/>
      </c>
    </row>
    <row r="31" spans="11:11" x14ac:dyDescent="0.25">
      <c r="K31" s="37" t="str">
        <f t="shared" si="0"/>
        <v/>
      </c>
    </row>
    <row r="32" spans="11:11" x14ac:dyDescent="0.25">
      <c r="K32" s="37" t="str">
        <f t="shared" si="0"/>
        <v/>
      </c>
    </row>
    <row r="33" spans="11:11" x14ac:dyDescent="0.25">
      <c r="K33" s="37" t="str">
        <f t="shared" si="0"/>
        <v/>
      </c>
    </row>
    <row r="34" spans="11:11" x14ac:dyDescent="0.25">
      <c r="K34" s="37" t="str">
        <f t="shared" si="0"/>
        <v/>
      </c>
    </row>
    <row r="35" spans="11:11" x14ac:dyDescent="0.25">
      <c r="K35" s="37" t="str">
        <f t="shared" si="0"/>
        <v/>
      </c>
    </row>
    <row r="36" spans="11:11" x14ac:dyDescent="0.25">
      <c r="K36" s="37" t="str">
        <f t="shared" si="0"/>
        <v/>
      </c>
    </row>
    <row r="37" spans="11:11" x14ac:dyDescent="0.25">
      <c r="K37" s="37" t="str">
        <f t="shared" si="0"/>
        <v/>
      </c>
    </row>
    <row r="38" spans="11:11" x14ac:dyDescent="0.25">
      <c r="K38" s="37" t="str">
        <f t="shared" si="0"/>
        <v/>
      </c>
    </row>
    <row r="39" spans="11:11" x14ac:dyDescent="0.25">
      <c r="K39" s="37" t="str">
        <f t="shared" si="0"/>
        <v/>
      </c>
    </row>
    <row r="40" spans="11:11" x14ac:dyDescent="0.25">
      <c r="K40" s="37" t="str">
        <f t="shared" si="0"/>
        <v/>
      </c>
    </row>
    <row r="41" spans="11:11" x14ac:dyDescent="0.25">
      <c r="K41" s="37" t="str">
        <f t="shared" si="0"/>
        <v/>
      </c>
    </row>
    <row r="42" spans="11:11" x14ac:dyDescent="0.25">
      <c r="K42" s="37" t="str">
        <f t="shared" si="0"/>
        <v/>
      </c>
    </row>
    <row r="43" spans="11:11" x14ac:dyDescent="0.25">
      <c r="K43" s="37" t="str">
        <f t="shared" si="0"/>
        <v/>
      </c>
    </row>
    <row r="44" spans="11:11" x14ac:dyDescent="0.25">
      <c r="K44" s="37" t="str">
        <f t="shared" si="0"/>
        <v/>
      </c>
    </row>
    <row r="45" spans="11:11" x14ac:dyDescent="0.25">
      <c r="K45" s="37" t="str">
        <f t="shared" si="0"/>
        <v/>
      </c>
    </row>
    <row r="46" spans="11:11" x14ac:dyDescent="0.25">
      <c r="K46" s="37" t="str">
        <f t="shared" si="0"/>
        <v/>
      </c>
    </row>
    <row r="47" spans="11:11" x14ac:dyDescent="0.25">
      <c r="K47" s="37" t="str">
        <f t="shared" si="0"/>
        <v/>
      </c>
    </row>
    <row r="48" spans="11:11" x14ac:dyDescent="0.25">
      <c r="K48" s="37" t="str">
        <f t="shared" si="0"/>
        <v/>
      </c>
    </row>
    <row r="49" spans="11:11" x14ac:dyDescent="0.25">
      <c r="K49" s="37" t="str">
        <f t="shared" si="0"/>
        <v/>
      </c>
    </row>
    <row r="50" spans="11:11" x14ac:dyDescent="0.25">
      <c r="K50" s="37" t="str">
        <f t="shared" si="0"/>
        <v/>
      </c>
    </row>
    <row r="51" spans="11:11" x14ac:dyDescent="0.25">
      <c r="K51" s="37" t="str">
        <f t="shared" si="0"/>
        <v/>
      </c>
    </row>
    <row r="52" spans="11:11" x14ac:dyDescent="0.25">
      <c r="K52" s="37" t="str">
        <f t="shared" si="0"/>
        <v/>
      </c>
    </row>
    <row r="53" spans="11:11" x14ac:dyDescent="0.25">
      <c r="K53" s="37" t="str">
        <f t="shared" si="0"/>
        <v/>
      </c>
    </row>
    <row r="54" spans="11:11" x14ac:dyDescent="0.25">
      <c r="K54" s="37" t="str">
        <f t="shared" si="0"/>
        <v/>
      </c>
    </row>
    <row r="55" spans="11:11" x14ac:dyDescent="0.25">
      <c r="K55" s="37" t="str">
        <f t="shared" si="0"/>
        <v/>
      </c>
    </row>
    <row r="56" spans="11:11" x14ac:dyDescent="0.25">
      <c r="K56" s="37" t="str">
        <f t="shared" si="0"/>
        <v/>
      </c>
    </row>
    <row r="57" spans="11:11" x14ac:dyDescent="0.25">
      <c r="K57" s="37" t="str">
        <f t="shared" si="0"/>
        <v/>
      </c>
    </row>
    <row r="58" spans="11:11" x14ac:dyDescent="0.25">
      <c r="K58" s="37" t="str">
        <f t="shared" si="0"/>
        <v/>
      </c>
    </row>
    <row r="59" spans="11:11" x14ac:dyDescent="0.25">
      <c r="K59" s="37" t="str">
        <f t="shared" si="0"/>
        <v/>
      </c>
    </row>
    <row r="60" spans="11:11" x14ac:dyDescent="0.25">
      <c r="K60" s="37" t="str">
        <f t="shared" si="0"/>
        <v/>
      </c>
    </row>
    <row r="61" spans="11:11" x14ac:dyDescent="0.25">
      <c r="K61" s="37" t="str">
        <f t="shared" si="0"/>
        <v/>
      </c>
    </row>
    <row r="62" spans="11:11" x14ac:dyDescent="0.25">
      <c r="K62" s="37" t="str">
        <f t="shared" si="0"/>
        <v/>
      </c>
    </row>
    <row r="63" spans="11:11" x14ac:dyDescent="0.25">
      <c r="K63" s="37" t="str">
        <f t="shared" si="0"/>
        <v/>
      </c>
    </row>
    <row r="64" spans="11:11" x14ac:dyDescent="0.25">
      <c r="K64" s="37" t="str">
        <f t="shared" si="0"/>
        <v/>
      </c>
    </row>
    <row r="65" spans="11:11" x14ac:dyDescent="0.25">
      <c r="K65" s="37" t="str">
        <f t="shared" si="0"/>
        <v/>
      </c>
    </row>
    <row r="66" spans="11:11" x14ac:dyDescent="0.25">
      <c r="K66" s="37" t="str">
        <f t="shared" si="0"/>
        <v/>
      </c>
    </row>
    <row r="67" spans="11:11" x14ac:dyDescent="0.25">
      <c r="K67" s="37" t="str">
        <f t="shared" si="0"/>
        <v/>
      </c>
    </row>
    <row r="68" spans="11:11" x14ac:dyDescent="0.25">
      <c r="K68" s="37" t="str">
        <f t="shared" si="0"/>
        <v/>
      </c>
    </row>
    <row r="69" spans="11:11" x14ac:dyDescent="0.25">
      <c r="K69" s="37" t="str">
        <f t="shared" si="0"/>
        <v/>
      </c>
    </row>
    <row r="70" spans="11:11" x14ac:dyDescent="0.25">
      <c r="K70" s="37" t="str">
        <f t="shared" si="0"/>
        <v/>
      </c>
    </row>
    <row r="71" spans="11:11" x14ac:dyDescent="0.25">
      <c r="K71" s="37" t="str">
        <f t="shared" si="0"/>
        <v/>
      </c>
    </row>
    <row r="72" spans="11:11" x14ac:dyDescent="0.25">
      <c r="K72" s="37" t="str">
        <f t="shared" si="0"/>
        <v/>
      </c>
    </row>
    <row r="73" spans="11:11" x14ac:dyDescent="0.25">
      <c r="K73" s="37" t="str">
        <f t="shared" si="0"/>
        <v/>
      </c>
    </row>
    <row r="74" spans="11:11" x14ac:dyDescent="0.25">
      <c r="K74" s="37" t="str">
        <f t="shared" si="0"/>
        <v/>
      </c>
    </row>
    <row r="75" spans="11:11" x14ac:dyDescent="0.25">
      <c r="K75" s="37" t="str">
        <f t="shared" si="0"/>
        <v/>
      </c>
    </row>
    <row r="76" spans="11:11" x14ac:dyDescent="0.25">
      <c r="K76" s="37" t="str">
        <f t="shared" ref="K76:K139" si="1">IF((I76-J76)&lt;&gt;0,(I76-J76+K75),"")</f>
        <v/>
      </c>
    </row>
    <row r="77" spans="11:11" x14ac:dyDescent="0.25">
      <c r="K77" s="37" t="str">
        <f t="shared" si="1"/>
        <v/>
      </c>
    </row>
    <row r="78" spans="11:11" x14ac:dyDescent="0.25">
      <c r="K78" s="37" t="str">
        <f t="shared" si="1"/>
        <v/>
      </c>
    </row>
    <row r="79" spans="11:11" x14ac:dyDescent="0.25">
      <c r="K79" s="37" t="str">
        <f t="shared" si="1"/>
        <v/>
      </c>
    </row>
    <row r="80" spans="11:11" x14ac:dyDescent="0.25">
      <c r="K80" s="37" t="str">
        <f t="shared" si="1"/>
        <v/>
      </c>
    </row>
    <row r="81" spans="11:11" x14ac:dyDescent="0.25">
      <c r="K81" s="37" t="str">
        <f t="shared" si="1"/>
        <v/>
      </c>
    </row>
    <row r="82" spans="11:11" x14ac:dyDescent="0.25">
      <c r="K82" s="37" t="str">
        <f t="shared" si="1"/>
        <v/>
      </c>
    </row>
    <row r="83" spans="11:11" x14ac:dyDescent="0.25">
      <c r="K83" s="37" t="str">
        <f t="shared" si="1"/>
        <v/>
      </c>
    </row>
    <row r="84" spans="11:11" x14ac:dyDescent="0.25">
      <c r="K84" s="37" t="str">
        <f t="shared" si="1"/>
        <v/>
      </c>
    </row>
    <row r="85" spans="11:11" x14ac:dyDescent="0.25">
      <c r="K85" s="37" t="str">
        <f t="shared" si="1"/>
        <v/>
      </c>
    </row>
    <row r="86" spans="11:11" x14ac:dyDescent="0.25">
      <c r="K86" s="37" t="str">
        <f t="shared" si="1"/>
        <v/>
      </c>
    </row>
    <row r="87" spans="11:11" x14ac:dyDescent="0.25">
      <c r="K87" s="37" t="str">
        <f t="shared" si="1"/>
        <v/>
      </c>
    </row>
    <row r="88" spans="11:11" x14ac:dyDescent="0.25">
      <c r="K88" s="37" t="str">
        <f t="shared" si="1"/>
        <v/>
      </c>
    </row>
    <row r="89" spans="11:11" x14ac:dyDescent="0.25">
      <c r="K89" s="37" t="str">
        <f t="shared" si="1"/>
        <v/>
      </c>
    </row>
    <row r="90" spans="11:11" x14ac:dyDescent="0.25">
      <c r="K90" s="37" t="str">
        <f t="shared" si="1"/>
        <v/>
      </c>
    </row>
    <row r="91" spans="11:11" x14ac:dyDescent="0.25">
      <c r="K91" s="37" t="str">
        <f t="shared" si="1"/>
        <v/>
      </c>
    </row>
    <row r="92" spans="11:11" x14ac:dyDescent="0.25">
      <c r="K92" s="37" t="str">
        <f t="shared" si="1"/>
        <v/>
      </c>
    </row>
    <row r="93" spans="11:11" x14ac:dyDescent="0.25">
      <c r="K93" s="37" t="str">
        <f t="shared" si="1"/>
        <v/>
      </c>
    </row>
    <row r="94" spans="11:11" x14ac:dyDescent="0.25">
      <c r="K94" s="37" t="str">
        <f t="shared" si="1"/>
        <v/>
      </c>
    </row>
    <row r="95" spans="11:11" x14ac:dyDescent="0.25">
      <c r="K95" s="37" t="str">
        <f t="shared" si="1"/>
        <v/>
      </c>
    </row>
    <row r="96" spans="11:11" x14ac:dyDescent="0.25">
      <c r="K96" s="37" t="str">
        <f t="shared" si="1"/>
        <v/>
      </c>
    </row>
    <row r="97" spans="11:11" x14ac:dyDescent="0.25">
      <c r="K97" s="37" t="str">
        <f t="shared" si="1"/>
        <v/>
      </c>
    </row>
    <row r="98" spans="11:11" x14ac:dyDescent="0.25">
      <c r="K98" s="37" t="str">
        <f t="shared" si="1"/>
        <v/>
      </c>
    </row>
    <row r="99" spans="11:11" x14ac:dyDescent="0.25">
      <c r="K99" s="37" t="str">
        <f t="shared" si="1"/>
        <v/>
      </c>
    </row>
    <row r="100" spans="11:11" x14ac:dyDescent="0.25">
      <c r="K100" s="37" t="str">
        <f t="shared" si="1"/>
        <v/>
      </c>
    </row>
    <row r="101" spans="11:11" x14ac:dyDescent="0.25">
      <c r="K101" s="37" t="str">
        <f t="shared" si="1"/>
        <v/>
      </c>
    </row>
    <row r="102" spans="11:11" x14ac:dyDescent="0.25">
      <c r="K102" s="37" t="str">
        <f t="shared" si="1"/>
        <v/>
      </c>
    </row>
    <row r="103" spans="11:11" x14ac:dyDescent="0.25">
      <c r="K103" s="37" t="str">
        <f t="shared" si="1"/>
        <v/>
      </c>
    </row>
    <row r="104" spans="11:11" x14ac:dyDescent="0.25">
      <c r="K104" s="37" t="str">
        <f t="shared" si="1"/>
        <v/>
      </c>
    </row>
    <row r="105" spans="11:11" x14ac:dyDescent="0.25">
      <c r="K105" s="37" t="str">
        <f t="shared" si="1"/>
        <v/>
      </c>
    </row>
    <row r="106" spans="11:11" x14ac:dyDescent="0.25">
      <c r="K106" s="37" t="str">
        <f t="shared" si="1"/>
        <v/>
      </c>
    </row>
    <row r="107" spans="11:11" x14ac:dyDescent="0.25">
      <c r="K107" s="37" t="str">
        <f t="shared" si="1"/>
        <v/>
      </c>
    </row>
    <row r="108" spans="11:11" x14ac:dyDescent="0.25">
      <c r="K108" s="37" t="str">
        <f t="shared" si="1"/>
        <v/>
      </c>
    </row>
    <row r="109" spans="11:11" x14ac:dyDescent="0.25">
      <c r="K109" s="37" t="str">
        <f t="shared" si="1"/>
        <v/>
      </c>
    </row>
    <row r="110" spans="11:11" x14ac:dyDescent="0.25">
      <c r="K110" s="37" t="str">
        <f t="shared" si="1"/>
        <v/>
      </c>
    </row>
    <row r="111" spans="11:11" x14ac:dyDescent="0.25">
      <c r="K111" s="37" t="str">
        <f t="shared" si="1"/>
        <v/>
      </c>
    </row>
    <row r="112" spans="11:11" x14ac:dyDescent="0.25">
      <c r="K112" s="37" t="str">
        <f t="shared" si="1"/>
        <v/>
      </c>
    </row>
    <row r="113" spans="11:11" x14ac:dyDescent="0.25">
      <c r="K113" s="37" t="str">
        <f t="shared" si="1"/>
        <v/>
      </c>
    </row>
    <row r="114" spans="11:11" x14ac:dyDescent="0.25">
      <c r="K114" s="37" t="str">
        <f t="shared" si="1"/>
        <v/>
      </c>
    </row>
    <row r="115" spans="11:11" x14ac:dyDescent="0.25">
      <c r="K115" s="37" t="str">
        <f t="shared" si="1"/>
        <v/>
      </c>
    </row>
    <row r="116" spans="11:11" x14ac:dyDescent="0.25">
      <c r="K116" s="37" t="str">
        <f t="shared" si="1"/>
        <v/>
      </c>
    </row>
    <row r="117" spans="11:11" x14ac:dyDescent="0.25">
      <c r="K117" s="37" t="str">
        <f t="shared" si="1"/>
        <v/>
      </c>
    </row>
    <row r="118" spans="11:11" x14ac:dyDescent="0.25">
      <c r="K118" s="37" t="str">
        <f t="shared" si="1"/>
        <v/>
      </c>
    </row>
    <row r="119" spans="11:11" x14ac:dyDescent="0.25">
      <c r="K119" s="37" t="str">
        <f t="shared" si="1"/>
        <v/>
      </c>
    </row>
    <row r="120" spans="11:11" x14ac:dyDescent="0.25">
      <c r="K120" s="37" t="str">
        <f t="shared" si="1"/>
        <v/>
      </c>
    </row>
    <row r="121" spans="11:11" x14ac:dyDescent="0.25">
      <c r="K121" s="37" t="str">
        <f t="shared" si="1"/>
        <v/>
      </c>
    </row>
    <row r="122" spans="11:11" x14ac:dyDescent="0.25">
      <c r="K122" s="37" t="str">
        <f t="shared" si="1"/>
        <v/>
      </c>
    </row>
    <row r="123" spans="11:11" x14ac:dyDescent="0.25">
      <c r="K123" s="37" t="str">
        <f t="shared" si="1"/>
        <v/>
      </c>
    </row>
    <row r="124" spans="11:11" x14ac:dyDescent="0.25">
      <c r="K124" s="37" t="str">
        <f t="shared" si="1"/>
        <v/>
      </c>
    </row>
    <row r="125" spans="11:11" x14ac:dyDescent="0.25">
      <c r="K125" s="37" t="str">
        <f t="shared" si="1"/>
        <v/>
      </c>
    </row>
    <row r="126" spans="11:11" x14ac:dyDescent="0.25">
      <c r="K126" s="37" t="str">
        <f t="shared" si="1"/>
        <v/>
      </c>
    </row>
    <row r="127" spans="11:11" x14ac:dyDescent="0.25">
      <c r="K127" s="37" t="str">
        <f t="shared" si="1"/>
        <v/>
      </c>
    </row>
    <row r="128" spans="11:11" x14ac:dyDescent="0.25">
      <c r="K128" s="37" t="str">
        <f t="shared" si="1"/>
        <v/>
      </c>
    </row>
    <row r="129" spans="11:11" x14ac:dyDescent="0.25">
      <c r="K129" s="37" t="str">
        <f t="shared" si="1"/>
        <v/>
      </c>
    </row>
    <row r="130" spans="11:11" x14ac:dyDescent="0.25">
      <c r="K130" s="37" t="str">
        <f t="shared" si="1"/>
        <v/>
      </c>
    </row>
    <row r="131" spans="11:11" x14ac:dyDescent="0.25">
      <c r="K131" s="37" t="str">
        <f t="shared" si="1"/>
        <v/>
      </c>
    </row>
    <row r="132" spans="11:11" x14ac:dyDescent="0.25">
      <c r="K132" s="37" t="str">
        <f t="shared" si="1"/>
        <v/>
      </c>
    </row>
    <row r="133" spans="11:11" x14ac:dyDescent="0.25">
      <c r="K133" s="37" t="str">
        <f t="shared" si="1"/>
        <v/>
      </c>
    </row>
    <row r="134" spans="11:11" x14ac:dyDescent="0.25">
      <c r="K134" s="37" t="str">
        <f t="shared" si="1"/>
        <v/>
      </c>
    </row>
    <row r="135" spans="11:11" x14ac:dyDescent="0.25">
      <c r="K135" s="37" t="str">
        <f t="shared" si="1"/>
        <v/>
      </c>
    </row>
    <row r="136" spans="11:11" x14ac:dyDescent="0.25">
      <c r="K136" s="37" t="str">
        <f t="shared" si="1"/>
        <v/>
      </c>
    </row>
    <row r="137" spans="11:11" x14ac:dyDescent="0.25">
      <c r="K137" s="37" t="str">
        <f t="shared" si="1"/>
        <v/>
      </c>
    </row>
    <row r="138" spans="11:11" x14ac:dyDescent="0.25">
      <c r="K138" s="37" t="str">
        <f t="shared" si="1"/>
        <v/>
      </c>
    </row>
    <row r="139" spans="11:11" x14ac:dyDescent="0.25">
      <c r="K139" s="37" t="str">
        <f t="shared" si="1"/>
        <v/>
      </c>
    </row>
    <row r="140" spans="11:11" x14ac:dyDescent="0.25">
      <c r="K140" s="37" t="str">
        <f t="shared" ref="K140:K200" si="2">IF((I140-J140)&lt;&gt;0,(I140-J140+K139),"")</f>
        <v/>
      </c>
    </row>
    <row r="141" spans="11:11" x14ac:dyDescent="0.25">
      <c r="K141" s="37" t="str">
        <f t="shared" si="2"/>
        <v/>
      </c>
    </row>
    <row r="142" spans="11:11" x14ac:dyDescent="0.25">
      <c r="K142" s="37" t="str">
        <f t="shared" si="2"/>
        <v/>
      </c>
    </row>
    <row r="143" spans="11:11" x14ac:dyDescent="0.25">
      <c r="K143" s="37" t="str">
        <f t="shared" si="2"/>
        <v/>
      </c>
    </row>
    <row r="144" spans="11:11" x14ac:dyDescent="0.25">
      <c r="K144" s="37" t="str">
        <f t="shared" si="2"/>
        <v/>
      </c>
    </row>
    <row r="145" spans="11:11" x14ac:dyDescent="0.25">
      <c r="K145" s="37" t="str">
        <f t="shared" si="2"/>
        <v/>
      </c>
    </row>
    <row r="146" spans="11:11" x14ac:dyDescent="0.25">
      <c r="K146" s="37" t="str">
        <f t="shared" si="2"/>
        <v/>
      </c>
    </row>
    <row r="147" spans="11:11" x14ac:dyDescent="0.25">
      <c r="K147" s="37" t="str">
        <f t="shared" si="2"/>
        <v/>
      </c>
    </row>
    <row r="148" spans="11:11" x14ac:dyDescent="0.25">
      <c r="K148" s="37" t="str">
        <f t="shared" si="2"/>
        <v/>
      </c>
    </row>
    <row r="149" spans="11:11" x14ac:dyDescent="0.25">
      <c r="K149" s="37" t="str">
        <f t="shared" si="2"/>
        <v/>
      </c>
    </row>
    <row r="150" spans="11:11" x14ac:dyDescent="0.25">
      <c r="K150" s="37" t="str">
        <f t="shared" si="2"/>
        <v/>
      </c>
    </row>
    <row r="151" spans="11:11" x14ac:dyDescent="0.25">
      <c r="K151" s="37" t="str">
        <f t="shared" si="2"/>
        <v/>
      </c>
    </row>
    <row r="152" spans="11:11" x14ac:dyDescent="0.25">
      <c r="K152" s="37" t="str">
        <f t="shared" si="2"/>
        <v/>
      </c>
    </row>
    <row r="153" spans="11:11" x14ac:dyDescent="0.25">
      <c r="K153" s="37" t="str">
        <f t="shared" si="2"/>
        <v/>
      </c>
    </row>
    <row r="154" spans="11:11" x14ac:dyDescent="0.25">
      <c r="K154" s="37" t="str">
        <f t="shared" si="2"/>
        <v/>
      </c>
    </row>
    <row r="155" spans="11:11" x14ac:dyDescent="0.25">
      <c r="K155" s="37" t="str">
        <f t="shared" si="2"/>
        <v/>
      </c>
    </row>
    <row r="156" spans="11:11" x14ac:dyDescent="0.25">
      <c r="K156" s="37" t="str">
        <f t="shared" si="2"/>
        <v/>
      </c>
    </row>
    <row r="157" spans="11:11" x14ac:dyDescent="0.25">
      <c r="K157" s="37" t="str">
        <f t="shared" si="2"/>
        <v/>
      </c>
    </row>
    <row r="158" spans="11:11" x14ac:dyDescent="0.25">
      <c r="K158" s="37" t="str">
        <f t="shared" si="2"/>
        <v/>
      </c>
    </row>
    <row r="159" spans="11:11" x14ac:dyDescent="0.25">
      <c r="K159" s="37" t="str">
        <f t="shared" si="2"/>
        <v/>
      </c>
    </row>
    <row r="160" spans="11:11" x14ac:dyDescent="0.25">
      <c r="K160" s="37" t="str">
        <f t="shared" si="2"/>
        <v/>
      </c>
    </row>
    <row r="161" spans="11:11" x14ac:dyDescent="0.25">
      <c r="K161" s="37" t="str">
        <f t="shared" si="2"/>
        <v/>
      </c>
    </row>
    <row r="162" spans="11:11" x14ac:dyDescent="0.25">
      <c r="K162" s="37" t="str">
        <f t="shared" si="2"/>
        <v/>
      </c>
    </row>
    <row r="163" spans="11:11" x14ac:dyDescent="0.25">
      <c r="K163" s="37" t="str">
        <f t="shared" si="2"/>
        <v/>
      </c>
    </row>
    <row r="164" spans="11:11" x14ac:dyDescent="0.25">
      <c r="K164" s="37" t="str">
        <f t="shared" si="2"/>
        <v/>
      </c>
    </row>
    <row r="165" spans="11:11" x14ac:dyDescent="0.25">
      <c r="K165" s="37" t="str">
        <f t="shared" si="2"/>
        <v/>
      </c>
    </row>
    <row r="166" spans="11:11" x14ac:dyDescent="0.25">
      <c r="K166" s="37" t="str">
        <f t="shared" si="2"/>
        <v/>
      </c>
    </row>
    <row r="167" spans="11:11" x14ac:dyDescent="0.25">
      <c r="K167" s="37" t="str">
        <f t="shared" si="2"/>
        <v/>
      </c>
    </row>
    <row r="168" spans="11:11" x14ac:dyDescent="0.25">
      <c r="K168" s="37" t="str">
        <f t="shared" si="2"/>
        <v/>
      </c>
    </row>
    <row r="169" spans="11:11" x14ac:dyDescent="0.25">
      <c r="K169" s="37" t="str">
        <f t="shared" si="2"/>
        <v/>
      </c>
    </row>
    <row r="170" spans="11:11" x14ac:dyDescent="0.25">
      <c r="K170" s="37" t="str">
        <f t="shared" si="2"/>
        <v/>
      </c>
    </row>
    <row r="171" spans="11:11" x14ac:dyDescent="0.25">
      <c r="K171" s="37" t="str">
        <f t="shared" si="2"/>
        <v/>
      </c>
    </row>
    <row r="172" spans="11:11" x14ac:dyDescent="0.25">
      <c r="K172" s="37" t="str">
        <f t="shared" si="2"/>
        <v/>
      </c>
    </row>
    <row r="173" spans="11:11" x14ac:dyDescent="0.25">
      <c r="K173" s="37" t="str">
        <f t="shared" si="2"/>
        <v/>
      </c>
    </row>
    <row r="174" spans="11:11" x14ac:dyDescent="0.25">
      <c r="K174" s="37" t="str">
        <f t="shared" si="2"/>
        <v/>
      </c>
    </row>
    <row r="175" spans="11:11" x14ac:dyDescent="0.25">
      <c r="K175" s="37" t="str">
        <f t="shared" si="2"/>
        <v/>
      </c>
    </row>
    <row r="176" spans="11:11" x14ac:dyDescent="0.25">
      <c r="K176" s="37" t="str">
        <f t="shared" si="2"/>
        <v/>
      </c>
    </row>
    <row r="177" spans="11:11" x14ac:dyDescent="0.25">
      <c r="K177" s="37" t="str">
        <f t="shared" si="2"/>
        <v/>
      </c>
    </row>
    <row r="178" spans="11:11" x14ac:dyDescent="0.25">
      <c r="K178" s="37" t="str">
        <f t="shared" si="2"/>
        <v/>
      </c>
    </row>
    <row r="179" spans="11:11" x14ac:dyDescent="0.25">
      <c r="K179" s="37" t="str">
        <f t="shared" si="2"/>
        <v/>
      </c>
    </row>
    <row r="180" spans="11:11" x14ac:dyDescent="0.25">
      <c r="K180" s="37" t="str">
        <f t="shared" si="2"/>
        <v/>
      </c>
    </row>
    <row r="181" spans="11:11" x14ac:dyDescent="0.25">
      <c r="K181" s="37" t="str">
        <f t="shared" si="2"/>
        <v/>
      </c>
    </row>
    <row r="182" spans="11:11" x14ac:dyDescent="0.25">
      <c r="K182" s="37" t="str">
        <f t="shared" si="2"/>
        <v/>
      </c>
    </row>
    <row r="183" spans="11:11" x14ac:dyDescent="0.25">
      <c r="K183" s="37" t="str">
        <f t="shared" si="2"/>
        <v/>
      </c>
    </row>
    <row r="184" spans="11:11" x14ac:dyDescent="0.25">
      <c r="K184" s="37" t="str">
        <f t="shared" si="2"/>
        <v/>
      </c>
    </row>
    <row r="185" spans="11:11" x14ac:dyDescent="0.25">
      <c r="K185" s="37" t="str">
        <f t="shared" si="2"/>
        <v/>
      </c>
    </row>
    <row r="186" spans="11:11" x14ac:dyDescent="0.25">
      <c r="K186" s="37" t="str">
        <f t="shared" si="2"/>
        <v/>
      </c>
    </row>
    <row r="187" spans="11:11" x14ac:dyDescent="0.25">
      <c r="K187" s="37" t="str">
        <f t="shared" si="2"/>
        <v/>
      </c>
    </row>
    <row r="188" spans="11:11" x14ac:dyDescent="0.25">
      <c r="K188" s="37" t="str">
        <f t="shared" si="2"/>
        <v/>
      </c>
    </row>
    <row r="189" spans="11:11" x14ac:dyDescent="0.25">
      <c r="K189" s="37" t="str">
        <f t="shared" si="2"/>
        <v/>
      </c>
    </row>
    <row r="190" spans="11:11" x14ac:dyDescent="0.25">
      <c r="K190" s="37" t="str">
        <f t="shared" si="2"/>
        <v/>
      </c>
    </row>
    <row r="191" spans="11:11" x14ac:dyDescent="0.25">
      <c r="K191" s="37" t="str">
        <f t="shared" si="2"/>
        <v/>
      </c>
    </row>
    <row r="192" spans="11:11" x14ac:dyDescent="0.25">
      <c r="K192" s="37" t="str">
        <f t="shared" si="2"/>
        <v/>
      </c>
    </row>
    <row r="193" spans="11:11" x14ac:dyDescent="0.25">
      <c r="K193" s="37" t="str">
        <f t="shared" si="2"/>
        <v/>
      </c>
    </row>
    <row r="194" spans="11:11" x14ac:dyDescent="0.25">
      <c r="K194" s="37" t="str">
        <f t="shared" si="2"/>
        <v/>
      </c>
    </row>
    <row r="195" spans="11:11" x14ac:dyDescent="0.25">
      <c r="K195" s="37" t="str">
        <f t="shared" si="2"/>
        <v/>
      </c>
    </row>
    <row r="196" spans="11:11" x14ac:dyDescent="0.25">
      <c r="K196" s="37" t="str">
        <f t="shared" si="2"/>
        <v/>
      </c>
    </row>
    <row r="197" spans="11:11" x14ac:dyDescent="0.25">
      <c r="K197" s="37" t="str">
        <f t="shared" si="2"/>
        <v/>
      </c>
    </row>
    <row r="198" spans="11:11" x14ac:dyDescent="0.25">
      <c r="K198" s="37" t="str">
        <f t="shared" si="2"/>
        <v/>
      </c>
    </row>
    <row r="199" spans="11:11" x14ac:dyDescent="0.25">
      <c r="K199" s="37" t="str">
        <f t="shared" si="2"/>
        <v/>
      </c>
    </row>
    <row r="200" spans="11:11" x14ac:dyDescent="0.25">
      <c r="K200" s="37" t="str">
        <f t="shared" si="2"/>
        <v/>
      </c>
    </row>
  </sheetData>
  <mergeCells count="4">
    <mergeCell ref="B2:F2"/>
    <mergeCell ref="A4:K4"/>
    <mergeCell ref="A6:K6"/>
    <mergeCell ref="L10:N13"/>
  </mergeCells>
  <pageMargins left="0.7" right="0.7" top="0.75" bottom="0.75" header="0.3" footer="0.3"/>
  <pageSetup scale="58" orientation="landscape" horizontalDpi="300" verticalDpi="300" r:id="rId1"/>
  <colBreaks count="1" manualBreakCount="1">
    <brk id="11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V159"/>
  <sheetViews>
    <sheetView zoomScaleNormal="100" workbookViewId="0">
      <selection activeCell="H24" sqref="H24"/>
    </sheetView>
  </sheetViews>
  <sheetFormatPr baseColWidth="10" defaultRowHeight="15" x14ac:dyDescent="0.25"/>
  <cols>
    <col min="1" max="1" width="11.5703125" style="32"/>
    <col min="2" max="2" width="46.5703125" customWidth="1"/>
    <col min="4" max="4" width="15.7109375" customWidth="1"/>
    <col min="6" max="6" width="16" customWidth="1"/>
  </cols>
  <sheetData>
    <row r="1" spans="1:22" ht="14.45" x14ac:dyDescent="0.3">
      <c r="A1" s="110" t="str">
        <f>MENU!C1</f>
        <v>NOMBRE DE LA EMPRESA: Sopas Catrachas</v>
      </c>
      <c r="B1" s="110"/>
      <c r="C1" s="110"/>
      <c r="D1" s="110"/>
      <c r="E1" s="110"/>
      <c r="F1" s="110"/>
    </row>
    <row r="3" spans="1:22" ht="14.45" x14ac:dyDescent="0.3">
      <c r="A3" s="110" t="s">
        <v>55</v>
      </c>
      <c r="B3" s="110"/>
      <c r="C3" s="110"/>
      <c r="D3" s="110"/>
      <c r="E3" s="110"/>
      <c r="F3" s="110"/>
    </row>
    <row r="5" spans="1:22" ht="14.45" x14ac:dyDescent="0.3">
      <c r="A5" s="33" t="s">
        <v>8</v>
      </c>
      <c r="B5" s="28">
        <f ca="1">TODAY()</f>
        <v>44221</v>
      </c>
    </row>
    <row r="7" spans="1:22" ht="14.45" x14ac:dyDescent="0.3">
      <c r="C7" s="138" t="s">
        <v>54</v>
      </c>
      <c r="D7" s="138"/>
      <c r="E7" s="138" t="s">
        <v>47</v>
      </c>
      <c r="F7" s="138"/>
    </row>
    <row r="8" spans="1:22" thickBot="1" x14ac:dyDescent="0.35">
      <c r="A8" s="26" t="s">
        <v>15</v>
      </c>
      <c r="B8" s="26" t="s">
        <v>45</v>
      </c>
      <c r="C8" s="26" t="s">
        <v>50</v>
      </c>
      <c r="D8" s="26" t="s">
        <v>51</v>
      </c>
      <c r="E8" s="26" t="s">
        <v>52</v>
      </c>
      <c r="F8" s="26" t="s">
        <v>53</v>
      </c>
    </row>
    <row r="9" spans="1:22" thickTop="1" x14ac:dyDescent="0.3"/>
    <row r="10" spans="1:22" ht="14.45" x14ac:dyDescent="0.3">
      <c r="A10" s="34">
        <v>1</v>
      </c>
      <c r="B10" s="4" t="s">
        <v>59</v>
      </c>
      <c r="C10" s="30">
        <f t="array" ref="C10">SUM(IF(CodigoD=CodigoB,1,0)*DEBE)</f>
        <v>0</v>
      </c>
      <c r="D10" s="30">
        <f t="array" ref="D10">SUM(IF(CodigoD=CodigoB,1,0)*HABER)</f>
        <v>0</v>
      </c>
      <c r="E10" s="30" t="str">
        <f>IF(C10&gt;D10,C10-D10,"")</f>
        <v/>
      </c>
      <c r="F10" s="30" t="str">
        <f>IF(C10&lt;D10,D10-C10,"")</f>
        <v/>
      </c>
      <c r="V10" s="39" t="str">
        <f>A10&amp;"                 "&amp;B10</f>
        <v>1                 Activo</v>
      </c>
    </row>
    <row r="11" spans="1:22" ht="14.45" x14ac:dyDescent="0.3">
      <c r="A11" s="34" t="s">
        <v>243</v>
      </c>
      <c r="B11" s="4" t="s">
        <v>60</v>
      </c>
      <c r="C11" s="30">
        <f t="array" ref="C11">SUM(IF(CodigoD=CodigoB,1,0)*DEBE)</f>
        <v>0</v>
      </c>
      <c r="D11" s="30">
        <f t="array" ref="D11">SUM(IF(CodigoD=CodigoB,1,0)*HABER)</f>
        <v>0</v>
      </c>
      <c r="E11" s="30" t="str">
        <f t="shared" ref="E11:E74" si="0">IF(C11&gt;D11,C11-D11,"")</f>
        <v/>
      </c>
      <c r="F11" s="30" t="str">
        <f t="shared" ref="F11:F74" si="1">IF(C11&lt;D11,D11-C11,"")</f>
        <v/>
      </c>
      <c r="V11" t="str">
        <f>A11&amp;"                  "&amp;B11</f>
        <v>1.1.                  Activo Corriente</v>
      </c>
    </row>
    <row r="12" spans="1:22" ht="14.45" x14ac:dyDescent="0.3">
      <c r="A12" s="34" t="s">
        <v>273</v>
      </c>
      <c r="B12" s="4" t="s">
        <v>140</v>
      </c>
      <c r="C12" s="30">
        <f t="array" ref="C12">SUM(IF(CodigoD=CodigoB,1,0)*DEBE)</f>
        <v>0</v>
      </c>
      <c r="D12" s="30">
        <f t="array" ref="D12">SUM(IF(CodigoD=CodigoB,1,0)*HABER)</f>
        <v>0</v>
      </c>
      <c r="E12" s="30" t="str">
        <f t="shared" si="0"/>
        <v/>
      </c>
      <c r="F12" s="30" t="str">
        <f t="shared" si="1"/>
        <v/>
      </c>
      <c r="V12" t="str">
        <f>A12&amp;"                   "&amp;B12</f>
        <v>1.1.1.                   Efectivo y equivalentes al efectivo</v>
      </c>
    </row>
    <row r="13" spans="1:22" ht="14.45" x14ac:dyDescent="0.3">
      <c r="A13" s="34" t="s">
        <v>274</v>
      </c>
      <c r="B13" s="4" t="s">
        <v>61</v>
      </c>
      <c r="C13" s="30">
        <f t="array" ref="C13">SUM(IF(CodigoD=CodigoB,1,0)*DEBE)</f>
        <v>0</v>
      </c>
      <c r="D13" s="30">
        <f t="array" ref="D13">SUM(IF(CodigoD=CodigoB,1,0)*HABER)</f>
        <v>0</v>
      </c>
      <c r="E13" s="30" t="str">
        <f t="shared" si="0"/>
        <v/>
      </c>
      <c r="F13" s="30" t="str">
        <f t="shared" si="1"/>
        <v/>
      </c>
      <c r="V13" t="str">
        <f>A13&amp;"                     "&amp;B13</f>
        <v>1.1.1.1.                     Caja Chica</v>
      </c>
    </row>
    <row r="14" spans="1:22" ht="14.45" x14ac:dyDescent="0.3">
      <c r="A14" s="34" t="s">
        <v>275</v>
      </c>
      <c r="B14" s="4" t="s">
        <v>62</v>
      </c>
      <c r="C14" s="30">
        <f t="array" ref="C14">SUM(IF(CodigoD=CodigoB,1,0)*DEBE)</f>
        <v>21000</v>
      </c>
      <c r="D14" s="30">
        <f t="array" ref="D14">SUM(IF(CodigoD=CodigoB,1,0)*HABER)</f>
        <v>15000</v>
      </c>
      <c r="E14" s="30">
        <f t="shared" si="0"/>
        <v>6000</v>
      </c>
      <c r="F14" s="30" t="str">
        <f t="shared" si="1"/>
        <v/>
      </c>
      <c r="V14" t="str">
        <f>A14&amp;"                     "&amp;B14</f>
        <v>1.1.1.2.                     Caja General</v>
      </c>
    </row>
    <row r="15" spans="1:22" ht="14.45" x14ac:dyDescent="0.3">
      <c r="A15" s="34" t="s">
        <v>276</v>
      </c>
      <c r="B15" s="4" t="s">
        <v>63</v>
      </c>
      <c r="C15" s="30">
        <f t="array" ref="C15">SUM(IF(CodigoD=CodigoB,1,0)*DEBE)</f>
        <v>215000</v>
      </c>
      <c r="D15" s="30">
        <f t="array" ref="D15">SUM(IF(CodigoD=CodigoB,1,0)*HABER)</f>
        <v>10397750</v>
      </c>
      <c r="E15" s="30" t="str">
        <f t="shared" si="0"/>
        <v/>
      </c>
      <c r="F15" s="30">
        <f t="shared" si="1"/>
        <v>10182750</v>
      </c>
      <c r="V15" t="str">
        <f>A15&amp;"                     "&amp;B15</f>
        <v>1.1.1.3.                     Bancos</v>
      </c>
    </row>
    <row r="16" spans="1:22" x14ac:dyDescent="0.25">
      <c r="A16" s="34" t="s">
        <v>277</v>
      </c>
      <c r="B16" s="4" t="s">
        <v>145</v>
      </c>
      <c r="C16" s="30">
        <f t="array" ref="C16">SUM(IF(CodigoD=CodigoB,1,0)*DEBE)</f>
        <v>0</v>
      </c>
      <c r="D16" s="30">
        <f t="array" ref="D16">SUM(IF(CodigoD=CodigoB,1,0)*HABER)</f>
        <v>0</v>
      </c>
      <c r="E16" s="30" t="str">
        <f t="shared" si="0"/>
        <v/>
      </c>
      <c r="F16" s="30" t="str">
        <f t="shared" si="1"/>
        <v/>
      </c>
      <c r="V16" t="str">
        <f>A16&amp;"                   "&amp;B16</f>
        <v>1.1.2.                   Cuentas y documentos por cobrar</v>
      </c>
    </row>
    <row r="17" spans="1:22" x14ac:dyDescent="0.25">
      <c r="A17" s="34" t="s">
        <v>278</v>
      </c>
      <c r="B17" s="4" t="s">
        <v>64</v>
      </c>
      <c r="C17" s="30">
        <f t="array" ref="C17">SUM(IF(CodigoD=CodigoB,1,0)*DEBE)</f>
        <v>10000</v>
      </c>
      <c r="D17" s="30">
        <f t="array" ref="D17">SUM(IF(CodigoD=CodigoB,1,0)*HABER)</f>
        <v>0</v>
      </c>
      <c r="E17" s="30">
        <f t="shared" si="0"/>
        <v>10000</v>
      </c>
      <c r="F17" s="30" t="str">
        <f t="shared" si="1"/>
        <v/>
      </c>
      <c r="V17" t="str">
        <f t="shared" ref="V17:V24" si="2">A17&amp;"                     "&amp;B17</f>
        <v>1.1.2.1.                     Cuentas por cobrar</v>
      </c>
    </row>
    <row r="18" spans="1:22" x14ac:dyDescent="0.25">
      <c r="A18" s="34" t="s">
        <v>279</v>
      </c>
      <c r="B18" s="4" t="s">
        <v>139</v>
      </c>
      <c r="C18" s="30">
        <f t="array" ref="C18">SUM(IF(CodigoD=CodigoB,1,0)*DEBE)</f>
        <v>0</v>
      </c>
      <c r="D18" s="30">
        <f t="array" ref="D18">SUM(IF(CodigoD=CodigoB,1,0)*HABER)</f>
        <v>0</v>
      </c>
      <c r="E18" s="30" t="str">
        <f t="shared" si="0"/>
        <v/>
      </c>
      <c r="F18" s="30" t="str">
        <f t="shared" si="1"/>
        <v/>
      </c>
      <c r="V18" t="str">
        <f t="shared" si="2"/>
        <v>1.1.2.2.                     Estimacion de cuentas incobrables</v>
      </c>
    </row>
    <row r="19" spans="1:22" x14ac:dyDescent="0.25">
      <c r="A19" s="34" t="s">
        <v>280</v>
      </c>
      <c r="B19" s="4" t="s">
        <v>153</v>
      </c>
      <c r="C19" s="30">
        <f t="array" ref="C19">SUM(IF(CodigoD=CodigoB,1,0)*DEBE)</f>
        <v>0</v>
      </c>
      <c r="D19" s="30">
        <f t="array" ref="D19">SUM(IF(CodigoD=CodigoB,1,0)*HABER)</f>
        <v>0</v>
      </c>
      <c r="E19" s="30" t="str">
        <f t="shared" si="0"/>
        <v/>
      </c>
      <c r="F19" s="30" t="str">
        <f t="shared" si="1"/>
        <v/>
      </c>
      <c r="V19" t="str">
        <f t="shared" si="2"/>
        <v>1.1.2.3.                     Deudores varios</v>
      </c>
    </row>
    <row r="20" spans="1:22" x14ac:dyDescent="0.25">
      <c r="A20" s="34" t="s">
        <v>281</v>
      </c>
      <c r="B20" s="4" t="s">
        <v>154</v>
      </c>
      <c r="C20" s="30">
        <f t="array" ref="C20">SUM(IF(CodigoD=CodigoB,1,0)*DEBE)</f>
        <v>0</v>
      </c>
      <c r="D20" s="30">
        <f t="array" ref="D20">SUM(IF(CodigoD=CodigoB,1,0)*HABER)</f>
        <v>0</v>
      </c>
      <c r="E20" s="30" t="str">
        <f t="shared" si="0"/>
        <v/>
      </c>
      <c r="F20" s="30" t="str">
        <f t="shared" si="1"/>
        <v/>
      </c>
      <c r="V20" t="str">
        <f t="shared" si="2"/>
        <v>1.1.2.4.                     Funcionarios y empleados</v>
      </c>
    </row>
    <row r="21" spans="1:22" x14ac:dyDescent="0.25">
      <c r="A21" s="34" t="s">
        <v>282</v>
      </c>
      <c r="B21" s="4" t="s">
        <v>155</v>
      </c>
      <c r="C21" s="30">
        <f t="array" ref="C21">SUM(IF(CodigoD=CodigoB,1,0)*DEBE)</f>
        <v>0</v>
      </c>
      <c r="D21" s="30">
        <f t="array" ref="D21">SUM(IF(CodigoD=CodigoB,1,0)*HABER)</f>
        <v>0</v>
      </c>
      <c r="E21" s="30" t="str">
        <f t="shared" si="0"/>
        <v/>
      </c>
      <c r="F21" s="30" t="str">
        <f t="shared" si="1"/>
        <v/>
      </c>
      <c r="V21" t="str">
        <f t="shared" si="2"/>
        <v>1.1.2.5.                     Documentos por cobrar</v>
      </c>
    </row>
    <row r="22" spans="1:22" x14ac:dyDescent="0.25">
      <c r="A22" s="34" t="s">
        <v>283</v>
      </c>
      <c r="B22" s="4" t="s">
        <v>156</v>
      </c>
      <c r="C22" s="30">
        <f t="array" ref="C22">SUM(IF(CodigoD=CodigoB,1,0)*DEBE)</f>
        <v>0</v>
      </c>
      <c r="D22" s="30">
        <f t="array" ref="D22">SUM(IF(CodigoD=CodigoB,1,0)*HABER)</f>
        <v>0</v>
      </c>
      <c r="E22" s="30" t="str">
        <f t="shared" si="0"/>
        <v/>
      </c>
      <c r="F22" s="30" t="str">
        <f t="shared" si="1"/>
        <v/>
      </c>
      <c r="V22" t="str">
        <f t="shared" si="2"/>
        <v>1.1.2.6.                     Rentas por cobrar</v>
      </c>
    </row>
    <row r="23" spans="1:22" x14ac:dyDescent="0.25">
      <c r="A23" s="34" t="s">
        <v>284</v>
      </c>
      <c r="B23" s="4" t="s">
        <v>157</v>
      </c>
      <c r="C23" s="30">
        <f t="array" ref="C23">SUM(IF(CodigoD=CodigoB,1,0)*DEBE)</f>
        <v>0</v>
      </c>
      <c r="D23" s="30">
        <f t="array" ref="D23">SUM(IF(CodigoD=CodigoB,1,0)*HABER)</f>
        <v>0</v>
      </c>
      <c r="E23" s="30" t="str">
        <f t="shared" si="0"/>
        <v/>
      </c>
      <c r="F23" s="30" t="str">
        <f t="shared" si="1"/>
        <v/>
      </c>
      <c r="V23" t="str">
        <f t="shared" si="2"/>
        <v>1.1.2.7.                     Intereses por cobrar</v>
      </c>
    </row>
    <row r="24" spans="1:22" x14ac:dyDescent="0.25">
      <c r="A24" s="34" t="s">
        <v>285</v>
      </c>
      <c r="B24" s="4" t="s">
        <v>158</v>
      </c>
      <c r="C24" s="30">
        <f t="array" ref="C24">SUM(IF(CodigoD=CodigoB,1,0)*DEBE)</f>
        <v>0</v>
      </c>
      <c r="D24" s="30">
        <f t="array" ref="D24">SUM(IF(CodigoD=CodigoB,1,0)*HABER)</f>
        <v>0</v>
      </c>
      <c r="E24" s="30" t="str">
        <f t="shared" si="0"/>
        <v/>
      </c>
      <c r="F24" s="30" t="str">
        <f t="shared" si="1"/>
        <v/>
      </c>
      <c r="V24" t="str">
        <f t="shared" si="2"/>
        <v>1.1.2.8.                     Cuentas por cobrar partes relacionadas</v>
      </c>
    </row>
    <row r="25" spans="1:22" x14ac:dyDescent="0.25">
      <c r="A25" s="34" t="s">
        <v>286</v>
      </c>
      <c r="B25" s="4" t="s">
        <v>65</v>
      </c>
      <c r="C25" s="30">
        <f t="array" ref="C25">SUM(IF(CodigoD=CodigoB,1,0)*DEBE)</f>
        <v>0</v>
      </c>
      <c r="D25" s="30">
        <f t="array" ref="D25">SUM(IF(CodigoD=CodigoB,1,0)*HABER)</f>
        <v>0</v>
      </c>
      <c r="E25" s="30" t="str">
        <f t="shared" si="0"/>
        <v/>
      </c>
      <c r="F25" s="30" t="str">
        <f t="shared" si="1"/>
        <v/>
      </c>
      <c r="V25" t="str">
        <f>A25&amp;"                   "&amp;B25</f>
        <v>1.1.3.                   Inventarios</v>
      </c>
    </row>
    <row r="26" spans="1:22" x14ac:dyDescent="0.25">
      <c r="A26" s="34" t="s">
        <v>287</v>
      </c>
      <c r="B26" s="4" t="s">
        <v>159</v>
      </c>
      <c r="C26" s="30">
        <f t="array" ref="C26">SUM(IF(CodigoD=CodigoB,1,0)*DEBE)</f>
        <v>0</v>
      </c>
      <c r="D26" s="30">
        <f t="array" ref="D26">SUM(IF(CodigoD=CodigoB,1,0)*HABER)</f>
        <v>10000</v>
      </c>
      <c r="E26" s="30" t="str">
        <f t="shared" si="0"/>
        <v/>
      </c>
      <c r="F26" s="30">
        <f t="shared" si="1"/>
        <v>10000</v>
      </c>
      <c r="V26" t="str">
        <f>A26&amp;"                     "&amp;B26</f>
        <v>1.1.3.1.                     Inventario de productos terminados</v>
      </c>
    </row>
    <row r="27" spans="1:22" x14ac:dyDescent="0.25">
      <c r="A27" s="34" t="s">
        <v>288</v>
      </c>
      <c r="B27" s="4" t="s">
        <v>160</v>
      </c>
      <c r="C27" s="30">
        <f t="array" ref="C27">SUM(IF(CodigoD=CodigoB,1,0)*DEBE)</f>
        <v>0</v>
      </c>
      <c r="D27" s="30">
        <f t="array" ref="D27">SUM(IF(CodigoD=CodigoB,1,0)*HABER)</f>
        <v>0</v>
      </c>
      <c r="E27" s="30" t="str">
        <f t="shared" si="0"/>
        <v/>
      </c>
      <c r="F27" s="30" t="str">
        <f t="shared" si="1"/>
        <v/>
      </c>
      <c r="V27" t="str">
        <f>A27&amp;"                     "&amp;B27</f>
        <v>1.1.3.2.                     Inventario de productos en proceso</v>
      </c>
    </row>
    <row r="28" spans="1:22" x14ac:dyDescent="0.25">
      <c r="A28" s="34" t="s">
        <v>289</v>
      </c>
      <c r="B28" s="4" t="s">
        <v>161</v>
      </c>
      <c r="C28" s="30">
        <f t="array" ref="C28">SUM(IF(CodigoD=CodigoB,1,0)*DEBE)</f>
        <v>0</v>
      </c>
      <c r="D28" s="30">
        <f t="array" ref="D28">SUM(IF(CodigoD=CodigoB,1,0)*HABER)</f>
        <v>0</v>
      </c>
      <c r="E28" s="30" t="str">
        <f t="shared" si="0"/>
        <v/>
      </c>
      <c r="F28" s="30" t="str">
        <f t="shared" si="1"/>
        <v/>
      </c>
      <c r="V28" t="str">
        <f>A28&amp;"                     "&amp;B28</f>
        <v>1.1.3.3.                     Inventario de materia prima</v>
      </c>
    </row>
    <row r="29" spans="1:22" x14ac:dyDescent="0.25">
      <c r="A29" s="34" t="s">
        <v>290</v>
      </c>
      <c r="B29" s="4" t="s">
        <v>66</v>
      </c>
      <c r="C29" s="30">
        <f t="array" ref="C29">SUM(IF(CodigoD=CodigoB,1,0)*DEBE)</f>
        <v>0</v>
      </c>
      <c r="D29" s="30">
        <f t="array" ref="D29">SUM(IF(CodigoD=CodigoB,1,0)*HABER)</f>
        <v>0</v>
      </c>
      <c r="E29" s="30" t="str">
        <f t="shared" si="0"/>
        <v/>
      </c>
      <c r="F29" s="30" t="str">
        <f t="shared" si="1"/>
        <v/>
      </c>
      <c r="V29" t="str">
        <f>A29&amp;"                   "&amp;B29</f>
        <v>1.1.4.                   Pagos Anticipados</v>
      </c>
    </row>
    <row r="30" spans="1:22" x14ac:dyDescent="0.25">
      <c r="A30" s="34" t="s">
        <v>291</v>
      </c>
      <c r="B30" s="4" t="s">
        <v>167</v>
      </c>
      <c r="C30" s="30">
        <f t="array" ref="C30">SUM(IF(CodigoD=CodigoB,1,0)*DEBE)</f>
        <v>0</v>
      </c>
      <c r="D30" s="30">
        <f t="array" ref="D30">SUM(IF(CodigoD=CodigoB,1,0)*HABER)</f>
        <v>0</v>
      </c>
      <c r="E30" s="30" t="str">
        <f t="shared" si="0"/>
        <v/>
      </c>
      <c r="F30" s="30" t="str">
        <f t="shared" si="1"/>
        <v/>
      </c>
      <c r="V30" t="str">
        <f t="shared" ref="V30:V38" si="3">A30&amp;"                     "&amp;B30</f>
        <v>1.1.4.1.                     Papeleria y utiles</v>
      </c>
    </row>
    <row r="31" spans="1:22" x14ac:dyDescent="0.25">
      <c r="A31" s="34" t="s">
        <v>292</v>
      </c>
      <c r="B31" s="4" t="s">
        <v>168</v>
      </c>
      <c r="C31" s="30">
        <f t="array" ref="C31">SUM(IF(CodigoD=CodigoB,1,0)*DEBE)</f>
        <v>0</v>
      </c>
      <c r="D31" s="30">
        <f t="array" ref="D31">SUM(IF(CodigoD=CodigoB,1,0)*HABER)</f>
        <v>0</v>
      </c>
      <c r="E31" s="30" t="str">
        <f t="shared" si="0"/>
        <v/>
      </c>
      <c r="F31" s="30" t="str">
        <f t="shared" si="1"/>
        <v/>
      </c>
      <c r="V31" t="str">
        <f t="shared" si="3"/>
        <v>1.1.4.2.                     Intereses pagados por anticipado</v>
      </c>
    </row>
    <row r="32" spans="1:22" x14ac:dyDescent="0.25">
      <c r="A32" s="34" t="s">
        <v>293</v>
      </c>
      <c r="B32" s="4" t="s">
        <v>169</v>
      </c>
      <c r="C32" s="30">
        <f t="array" ref="C32">SUM(IF(CodigoD=CodigoB,1,0)*DEBE)</f>
        <v>0</v>
      </c>
      <c r="D32" s="30">
        <f t="array" ref="D32">SUM(IF(CodigoD=CodigoB,1,0)*HABER)</f>
        <v>0</v>
      </c>
      <c r="E32" s="30" t="str">
        <f t="shared" si="0"/>
        <v/>
      </c>
      <c r="F32" s="30" t="str">
        <f t="shared" si="1"/>
        <v/>
      </c>
      <c r="V32" t="str">
        <f t="shared" si="3"/>
        <v>1.1.4.3.                     Publicidad pagada por anticipado</v>
      </c>
    </row>
    <row r="33" spans="1:22" x14ac:dyDescent="0.25">
      <c r="A33" s="34" t="s">
        <v>294</v>
      </c>
      <c r="B33" s="4" t="s">
        <v>170</v>
      </c>
      <c r="C33" s="30">
        <f t="array" ref="C33">SUM(IF(CodigoD=CodigoB,1,0)*DEBE)</f>
        <v>0</v>
      </c>
      <c r="D33" s="30">
        <f t="array" ref="D33">SUM(IF(CodigoD=CodigoB,1,0)*HABER)</f>
        <v>0</v>
      </c>
      <c r="E33" s="30" t="str">
        <f t="shared" si="0"/>
        <v/>
      </c>
      <c r="F33" s="30" t="str">
        <f t="shared" si="1"/>
        <v/>
      </c>
      <c r="V33" t="str">
        <f t="shared" si="3"/>
        <v>1.1.4.4.                     Material de aseo y cocina</v>
      </c>
    </row>
    <row r="34" spans="1:22" x14ac:dyDescent="0.25">
      <c r="A34" s="34" t="s">
        <v>295</v>
      </c>
      <c r="B34" s="4" t="s">
        <v>171</v>
      </c>
      <c r="C34" s="30">
        <f t="array" ref="C34">SUM(IF(CodigoD=CodigoB,1,0)*DEBE)</f>
        <v>0</v>
      </c>
      <c r="D34" s="30">
        <f t="array" ref="D34">SUM(IF(CodigoD=CodigoB,1,0)*HABER)</f>
        <v>0</v>
      </c>
      <c r="E34" s="30" t="str">
        <f t="shared" si="0"/>
        <v/>
      </c>
      <c r="F34" s="30" t="str">
        <f t="shared" si="1"/>
        <v/>
      </c>
      <c r="V34" t="str">
        <f t="shared" si="3"/>
        <v>1.1.4.5.                     Suscripciones pagadas por anticipado</v>
      </c>
    </row>
    <row r="35" spans="1:22" x14ac:dyDescent="0.25">
      <c r="A35" s="34" t="s">
        <v>296</v>
      </c>
      <c r="B35" s="4" t="s">
        <v>67</v>
      </c>
      <c r="C35" s="30">
        <f t="array" ref="C35">SUM(IF(CodigoD=CodigoB,1,0)*DEBE)</f>
        <v>0</v>
      </c>
      <c r="D35" s="30">
        <f t="array" ref="D35">SUM(IF(CodigoD=CodigoB,1,0)*HABER)</f>
        <v>0</v>
      </c>
      <c r="E35" s="30" t="str">
        <f t="shared" si="0"/>
        <v/>
      </c>
      <c r="F35" s="30" t="str">
        <f t="shared" si="1"/>
        <v/>
      </c>
      <c r="V35" t="str">
        <f t="shared" si="3"/>
        <v>1.1.4.6.                     Alquileres Pagados por Anticipado</v>
      </c>
    </row>
    <row r="36" spans="1:22" x14ac:dyDescent="0.25">
      <c r="A36" s="34" t="s">
        <v>297</v>
      </c>
      <c r="B36" s="4" t="s">
        <v>68</v>
      </c>
      <c r="C36" s="30">
        <f t="array" ref="C36">SUM(IF(CodigoD=CodigoB,1,0)*DEBE)</f>
        <v>0</v>
      </c>
      <c r="D36" s="30">
        <f t="array" ref="D36">SUM(IF(CodigoD=CodigoB,1,0)*HABER)</f>
        <v>0</v>
      </c>
      <c r="E36" s="30" t="str">
        <f t="shared" si="0"/>
        <v/>
      </c>
      <c r="F36" s="30" t="str">
        <f t="shared" si="1"/>
        <v/>
      </c>
      <c r="V36" t="str">
        <f t="shared" si="3"/>
        <v>1.1.4.7.                     Seguros Pagados por Anticipado</v>
      </c>
    </row>
    <row r="37" spans="1:22" x14ac:dyDescent="0.25">
      <c r="A37" s="34" t="s">
        <v>298</v>
      </c>
      <c r="B37" s="4" t="s">
        <v>172</v>
      </c>
      <c r="C37" s="30">
        <f t="array" ref="C37">SUM(IF(CodigoD=CodigoB,1,0)*DEBE)</f>
        <v>0</v>
      </c>
      <c r="D37" s="30">
        <f t="array" ref="D37">SUM(IF(CodigoD=CodigoB,1,0)*HABER)</f>
        <v>0</v>
      </c>
      <c r="E37" s="30" t="str">
        <f t="shared" si="0"/>
        <v/>
      </c>
      <c r="F37" s="30" t="str">
        <f t="shared" si="1"/>
        <v/>
      </c>
      <c r="V37" t="str">
        <f t="shared" si="3"/>
        <v>1.1.4.8.                     Anticipo a proveedores</v>
      </c>
    </row>
    <row r="38" spans="1:22" x14ac:dyDescent="0.25">
      <c r="A38" s="34" t="s">
        <v>299</v>
      </c>
      <c r="B38" s="4" t="s">
        <v>173</v>
      </c>
      <c r="C38" s="30">
        <f t="array" ref="C38">SUM(IF(CodigoD=CodigoB,1,0)*DEBE)</f>
        <v>0</v>
      </c>
      <c r="D38" s="30">
        <f t="array" ref="D38">SUM(IF(CodigoD=CodigoB,1,0)*HABER)</f>
        <v>0</v>
      </c>
      <c r="E38" s="30" t="str">
        <f t="shared" si="0"/>
        <v/>
      </c>
      <c r="F38" s="30" t="str">
        <f t="shared" si="1"/>
        <v/>
      </c>
      <c r="V38" t="str">
        <f t="shared" si="3"/>
        <v>1.1.4.9.                     Impuestos pagados por anticipado</v>
      </c>
    </row>
    <row r="39" spans="1:22" x14ac:dyDescent="0.25">
      <c r="A39" s="34" t="s">
        <v>300</v>
      </c>
      <c r="B39" s="4" t="s">
        <v>177</v>
      </c>
      <c r="C39" s="30">
        <f t="array" ref="C39">SUM(IF(CodigoD=CodigoB,1,0)*DEBE)</f>
        <v>0</v>
      </c>
      <c r="D39" s="30">
        <f t="array" ref="D39">SUM(IF(CodigoD=CodigoB,1,0)*HABER)</f>
        <v>0</v>
      </c>
      <c r="E39" s="30" t="str">
        <f t="shared" si="0"/>
        <v/>
      </c>
      <c r="F39" s="30" t="str">
        <f t="shared" si="1"/>
        <v/>
      </c>
      <c r="V39" t="str">
        <f>A39&amp;"                   "&amp;B39</f>
        <v>1.1.5.                   Inversiones</v>
      </c>
    </row>
    <row r="40" spans="1:22" x14ac:dyDescent="0.25">
      <c r="A40" s="34" t="s">
        <v>301</v>
      </c>
      <c r="B40" s="4" t="s">
        <v>178</v>
      </c>
      <c r="C40" s="30">
        <f t="array" ref="C40">SUM(IF(CodigoD=CodigoB,1,0)*DEBE)</f>
        <v>0</v>
      </c>
      <c r="D40" s="30">
        <f t="array" ref="D40">SUM(IF(CodigoD=CodigoB,1,0)*HABER)</f>
        <v>0</v>
      </c>
      <c r="E40" s="30" t="str">
        <f t="shared" si="0"/>
        <v/>
      </c>
      <c r="F40" s="30" t="str">
        <f t="shared" si="1"/>
        <v/>
      </c>
      <c r="V40" t="str">
        <f>A40&amp;"                     "&amp;B40</f>
        <v>1.1.5.1.                     Inversiones temporales(menor a 1 año)</v>
      </c>
    </row>
    <row r="41" spans="1:22" x14ac:dyDescent="0.25">
      <c r="A41" s="34" t="s">
        <v>302</v>
      </c>
      <c r="B41" s="4" t="s">
        <v>179</v>
      </c>
      <c r="C41" s="30">
        <f t="array" ref="C41">SUM(IF(CodigoD=CodigoB,1,0)*DEBE)</f>
        <v>0</v>
      </c>
      <c r="D41" s="30">
        <f t="array" ref="D41">SUM(IF(CodigoD=CodigoB,1,0)*HABER)</f>
        <v>0</v>
      </c>
      <c r="E41" s="30" t="str">
        <f t="shared" si="0"/>
        <v/>
      </c>
      <c r="F41" s="30" t="str">
        <f t="shared" si="1"/>
        <v/>
      </c>
      <c r="V41" t="str">
        <f>A41&amp;"                     "&amp;B41</f>
        <v>1.1.5.2.                     Inversiones en acciones(menor a 1 año)</v>
      </c>
    </row>
    <row r="42" spans="1:22" x14ac:dyDescent="0.25">
      <c r="A42" s="34" t="s">
        <v>303</v>
      </c>
      <c r="B42" s="4" t="s">
        <v>180</v>
      </c>
      <c r="C42" s="30">
        <f t="array" ref="C42">SUM(IF(CodigoD=CodigoB,1,0)*DEBE)</f>
        <v>0</v>
      </c>
      <c r="D42" s="30">
        <f t="array" ref="D42">SUM(IF(CodigoD=CodigoB,1,0)*HABER)</f>
        <v>0</v>
      </c>
      <c r="E42" s="30" t="str">
        <f t="shared" si="0"/>
        <v/>
      </c>
      <c r="F42" s="30" t="str">
        <f t="shared" si="1"/>
        <v/>
      </c>
      <c r="V42" t="str">
        <f>A42&amp;"                     "&amp;B42</f>
        <v>1.1.5.3.                     Certificados de depositos a plazo(menor a 1 año)</v>
      </c>
    </row>
    <row r="43" spans="1:22" x14ac:dyDescent="0.25">
      <c r="A43" s="34" t="s">
        <v>304</v>
      </c>
      <c r="B43" s="4" t="s">
        <v>69</v>
      </c>
      <c r="C43" s="30">
        <f t="array" ref="C43">SUM(IF(CodigoD=CodigoB,1,0)*DEBE)</f>
        <v>0</v>
      </c>
      <c r="D43" s="30">
        <f t="array" ref="D43">SUM(IF(CodigoD=CodigoB,1,0)*HABER)</f>
        <v>0</v>
      </c>
      <c r="E43" s="30" t="str">
        <f t="shared" si="0"/>
        <v/>
      </c>
      <c r="F43" s="30" t="str">
        <f t="shared" si="1"/>
        <v/>
      </c>
      <c r="V43" t="str">
        <f>A43&amp;"                  "&amp;B43</f>
        <v>1.2.                  Activo No Corriente</v>
      </c>
    </row>
    <row r="44" spans="1:22" x14ac:dyDescent="0.25">
      <c r="A44" s="34" t="s">
        <v>305</v>
      </c>
      <c r="B44" s="4" t="s">
        <v>70</v>
      </c>
      <c r="C44" s="30">
        <f t="array" ref="C44">SUM(IF(CodigoD=CodigoB,1,0)*DEBE)</f>
        <v>0</v>
      </c>
      <c r="D44" s="30">
        <f t="array" ref="D44">SUM(IF(CodigoD=CodigoB,1,0)*HABER)</f>
        <v>0</v>
      </c>
      <c r="E44" s="30" t="str">
        <f t="shared" si="0"/>
        <v/>
      </c>
      <c r="F44" s="30" t="str">
        <f t="shared" si="1"/>
        <v/>
      </c>
      <c r="V44" t="str">
        <f>A44&amp;"                   "&amp;B44</f>
        <v>1.2.1.                   Propiedad Planta y Equipo</v>
      </c>
    </row>
    <row r="45" spans="1:22" x14ac:dyDescent="0.25">
      <c r="A45" s="34" t="s">
        <v>306</v>
      </c>
      <c r="B45" s="4" t="s">
        <v>71</v>
      </c>
      <c r="C45" s="30">
        <f t="array" ref="C45">SUM(IF(CodigoD=CodigoB,1,0)*DEBE)</f>
        <v>0</v>
      </c>
      <c r="D45" s="30">
        <f t="array" ref="D45">SUM(IF(CodigoD=CodigoB,1,0)*HABER)</f>
        <v>0</v>
      </c>
      <c r="E45" s="30" t="str">
        <f t="shared" si="0"/>
        <v/>
      </c>
      <c r="F45" s="30" t="str">
        <f t="shared" si="1"/>
        <v/>
      </c>
      <c r="V45" t="str">
        <f t="shared" ref="V45:V53" si="4">A45&amp;"                     "&amp;B45</f>
        <v>1.2.1.1.                     Terrenos</v>
      </c>
    </row>
    <row r="46" spans="1:22" x14ac:dyDescent="0.25">
      <c r="A46" s="34" t="s">
        <v>307</v>
      </c>
      <c r="B46" s="4" t="s">
        <v>72</v>
      </c>
      <c r="C46" s="30">
        <f t="array" ref="C46">SUM(IF(CodigoD=CodigoB,1,0)*DEBE)</f>
        <v>0</v>
      </c>
      <c r="D46" s="30">
        <f t="array" ref="D46">SUM(IF(CodigoD=CodigoB,1,0)*HABER)</f>
        <v>0</v>
      </c>
      <c r="E46" s="30" t="str">
        <f t="shared" si="0"/>
        <v/>
      </c>
      <c r="F46" s="30" t="str">
        <f t="shared" si="1"/>
        <v/>
      </c>
      <c r="V46" t="str">
        <f t="shared" si="4"/>
        <v>1.2.1.2.                     Edificios</v>
      </c>
    </row>
    <row r="47" spans="1:22" x14ac:dyDescent="0.25">
      <c r="A47" s="34" t="s">
        <v>308</v>
      </c>
      <c r="B47" s="4" t="s">
        <v>73</v>
      </c>
      <c r="C47" s="30">
        <f t="array" ref="C47">SUM(IF(CodigoD=CodigoB,1,0)*DEBE)</f>
        <v>0</v>
      </c>
      <c r="D47" s="30">
        <f t="array" ref="D47">SUM(IF(CodigoD=CodigoB,1,0)*HABER)</f>
        <v>0</v>
      </c>
      <c r="E47" s="30" t="str">
        <f t="shared" si="0"/>
        <v/>
      </c>
      <c r="F47" s="30" t="str">
        <f t="shared" si="1"/>
        <v/>
      </c>
      <c r="V47" t="str">
        <f t="shared" si="4"/>
        <v>1.2.1.3.                     Depreciación Acumulada de Edificios</v>
      </c>
    </row>
    <row r="48" spans="1:22" x14ac:dyDescent="0.25">
      <c r="A48" s="34" t="s">
        <v>309</v>
      </c>
      <c r="B48" s="4" t="s">
        <v>74</v>
      </c>
      <c r="C48" s="30">
        <f t="array" ref="C48">SUM(IF(CodigoD=CodigoB,1,0)*DEBE)</f>
        <v>0</v>
      </c>
      <c r="D48" s="30">
        <f t="array" ref="D48">SUM(IF(CodigoD=CodigoB,1,0)*HABER)</f>
        <v>0</v>
      </c>
      <c r="E48" s="30" t="str">
        <f t="shared" si="0"/>
        <v/>
      </c>
      <c r="F48" s="30" t="str">
        <f t="shared" si="1"/>
        <v/>
      </c>
      <c r="V48" t="str">
        <f t="shared" si="4"/>
        <v>1.2.1.4.                     Mobiliario y Equipo</v>
      </c>
    </row>
    <row r="49" spans="1:22" x14ac:dyDescent="0.25">
      <c r="A49" s="34" t="s">
        <v>310</v>
      </c>
      <c r="B49" s="4" t="s">
        <v>75</v>
      </c>
      <c r="C49" s="30">
        <f t="array" ref="C49">SUM(IF(CodigoD=CodigoB,1,0)*DEBE)</f>
        <v>0</v>
      </c>
      <c r="D49" s="30">
        <f t="array" ref="D49">SUM(IF(CodigoD=CodigoB,1,0)*HABER)</f>
        <v>0</v>
      </c>
      <c r="E49" s="30" t="str">
        <f t="shared" si="0"/>
        <v/>
      </c>
      <c r="F49" s="30" t="str">
        <f t="shared" si="1"/>
        <v/>
      </c>
      <c r="V49" t="str">
        <f t="shared" si="4"/>
        <v>1.2.1.5.                     Depreciación Acumulada de Mobiliario y Equipo</v>
      </c>
    </row>
    <row r="50" spans="1:22" x14ac:dyDescent="0.25">
      <c r="A50" s="34" t="s">
        <v>311</v>
      </c>
      <c r="B50" s="4" t="s">
        <v>193</v>
      </c>
      <c r="C50" s="30">
        <f t="array" ref="C50">SUM(IF(CodigoD=CodigoB,1,0)*DEBE)</f>
        <v>0</v>
      </c>
      <c r="D50" s="30">
        <f t="array" ref="D50">SUM(IF(CodigoD=CodigoB,1,0)*HABER)</f>
        <v>0</v>
      </c>
      <c r="E50" s="30" t="str">
        <f t="shared" si="0"/>
        <v/>
      </c>
      <c r="F50" s="30" t="str">
        <f t="shared" si="1"/>
        <v/>
      </c>
      <c r="V50" t="str">
        <f t="shared" si="4"/>
        <v>1.2.1.6.                     Maquinaria y equipo</v>
      </c>
    </row>
    <row r="51" spans="1:22" x14ac:dyDescent="0.25">
      <c r="A51" s="34" t="s">
        <v>340</v>
      </c>
      <c r="B51" s="4" t="s">
        <v>200</v>
      </c>
      <c r="C51" s="30">
        <f t="array" ref="C51">SUM(IF(CodigoD=CodigoB,1,0)*DEBE)</f>
        <v>0</v>
      </c>
      <c r="D51" s="30">
        <f t="array" ref="D51">SUM(IF(CodigoD=CodigoB,1,0)*HABER)</f>
        <v>0</v>
      </c>
      <c r="E51" s="30" t="str">
        <f t="shared" si="0"/>
        <v/>
      </c>
      <c r="F51" s="30" t="str">
        <f t="shared" si="1"/>
        <v/>
      </c>
      <c r="V51" t="str">
        <f t="shared" si="4"/>
        <v>1.2.1.7.                     Depreciación Acumulada de Maquinaria y Equipo</v>
      </c>
    </row>
    <row r="52" spans="1:22" x14ac:dyDescent="0.25">
      <c r="A52" s="34" t="s">
        <v>339</v>
      </c>
      <c r="B52" s="4" t="s">
        <v>194</v>
      </c>
      <c r="C52" s="30">
        <f t="array" ref="C52">SUM(IF(CodigoD=CodigoB,1,0)*DEBE)</f>
        <v>10325400</v>
      </c>
      <c r="D52" s="30">
        <f t="array" ref="D52">SUM(IF(CodigoD=CodigoB,1,0)*HABER)</f>
        <v>0</v>
      </c>
      <c r="E52" s="30">
        <f t="shared" si="0"/>
        <v>10325400</v>
      </c>
      <c r="F52" s="30" t="str">
        <f t="shared" si="1"/>
        <v/>
      </c>
      <c r="V52" t="str">
        <f t="shared" si="4"/>
        <v>1.2.1.8.                     Vehiculos</v>
      </c>
    </row>
    <row r="53" spans="1:22" x14ac:dyDescent="0.25">
      <c r="A53" s="34" t="s">
        <v>338</v>
      </c>
      <c r="B53" s="4" t="s">
        <v>199</v>
      </c>
      <c r="C53" s="30">
        <f t="array" ref="C53">SUM(IF(CodigoD=CodigoB,1,0)*DEBE)</f>
        <v>0</v>
      </c>
      <c r="D53" s="30">
        <f t="array" ref="D53">SUM(IF(CodigoD=CodigoB,1,0)*HABER)</f>
        <v>0</v>
      </c>
      <c r="E53" s="30" t="str">
        <f t="shared" si="0"/>
        <v/>
      </c>
      <c r="F53" s="30" t="str">
        <f t="shared" si="1"/>
        <v/>
      </c>
      <c r="V53" t="str">
        <f t="shared" si="4"/>
        <v>1.2.1.9.                     Depreciación Acumulada de Vehiculos</v>
      </c>
    </row>
    <row r="54" spans="1:22" x14ac:dyDescent="0.25">
      <c r="A54" s="34" t="s">
        <v>337</v>
      </c>
      <c r="B54" s="4" t="s">
        <v>195</v>
      </c>
      <c r="C54" s="30">
        <f t="array" ref="C54">SUM(IF(CodigoD=CodigoB,1,0)*DEBE)</f>
        <v>0</v>
      </c>
      <c r="D54" s="30">
        <f t="array" ref="D54">SUM(IF(CodigoD=CodigoB,1,0)*HABER)</f>
        <v>0</v>
      </c>
      <c r="E54" s="30" t="str">
        <f t="shared" si="0"/>
        <v/>
      </c>
      <c r="F54" s="30" t="str">
        <f t="shared" si="1"/>
        <v/>
      </c>
      <c r="V54" t="str">
        <f>A54&amp;"                   "&amp;B54</f>
        <v>1.2.1.10.                   Equipo de reparto</v>
      </c>
    </row>
    <row r="55" spans="1:22" x14ac:dyDescent="0.25">
      <c r="A55" s="34" t="s">
        <v>336</v>
      </c>
      <c r="B55" s="4" t="s">
        <v>201</v>
      </c>
      <c r="C55" s="30">
        <f t="array" ref="C55">SUM(IF(CodigoD=CodigoB,1,0)*DEBE)</f>
        <v>0</v>
      </c>
      <c r="D55" s="30">
        <f t="array" ref="D55">SUM(IF(CodigoD=CodigoB,1,0)*HABER)</f>
        <v>0</v>
      </c>
      <c r="E55" s="30" t="str">
        <f t="shared" si="0"/>
        <v/>
      </c>
      <c r="F55" s="30" t="str">
        <f t="shared" si="1"/>
        <v/>
      </c>
      <c r="V55" t="str">
        <f t="shared" ref="V55:V61" si="5">A55&amp;"                   "&amp;B55</f>
        <v>1.2.1.11.                   Depreciación Acumulada de Equipo de reparto</v>
      </c>
    </row>
    <row r="56" spans="1:22" x14ac:dyDescent="0.25">
      <c r="A56" s="34" t="s">
        <v>335</v>
      </c>
      <c r="B56" s="4" t="s">
        <v>196</v>
      </c>
      <c r="C56" s="30">
        <f t="array" ref="C56">SUM(IF(CodigoD=CodigoB,1,0)*DEBE)</f>
        <v>0</v>
      </c>
      <c r="D56" s="30">
        <f t="array" ref="D56">SUM(IF(CodigoD=CodigoB,1,0)*HABER)</f>
        <v>0</v>
      </c>
      <c r="E56" s="30" t="str">
        <f t="shared" si="0"/>
        <v/>
      </c>
      <c r="F56" s="30" t="str">
        <f t="shared" si="1"/>
        <v/>
      </c>
      <c r="V56" t="str">
        <f t="shared" si="5"/>
        <v>1.2.1.12.                   Equipo de transporte</v>
      </c>
    </row>
    <row r="57" spans="1:22" x14ac:dyDescent="0.25">
      <c r="A57" s="34" t="s">
        <v>334</v>
      </c>
      <c r="B57" s="4" t="s">
        <v>202</v>
      </c>
      <c r="C57" s="30">
        <f t="array" ref="C57">SUM(IF(CodigoD=CodigoB,1,0)*DEBE)</f>
        <v>0</v>
      </c>
      <c r="D57" s="30">
        <f t="array" ref="D57">SUM(IF(CodigoD=CodigoB,1,0)*HABER)</f>
        <v>0</v>
      </c>
      <c r="E57" s="30" t="str">
        <f t="shared" si="0"/>
        <v/>
      </c>
      <c r="F57" s="30" t="str">
        <f t="shared" si="1"/>
        <v/>
      </c>
      <c r="V57" t="str">
        <f t="shared" si="5"/>
        <v>1.2.1.13.                   Depreciación Acumulada de Equipo de transporte</v>
      </c>
    </row>
    <row r="58" spans="1:22" x14ac:dyDescent="0.25">
      <c r="A58" s="34" t="s">
        <v>333</v>
      </c>
      <c r="B58" s="4" t="s">
        <v>197</v>
      </c>
      <c r="C58" s="30">
        <f t="array" ref="C58">SUM(IF(CodigoD=CodigoB,1,0)*DEBE)</f>
        <v>0</v>
      </c>
      <c r="D58" s="30">
        <f t="array" ref="D58">SUM(IF(CodigoD=CodigoB,1,0)*HABER)</f>
        <v>0</v>
      </c>
      <c r="E58" s="30" t="str">
        <f t="shared" si="0"/>
        <v/>
      </c>
      <c r="F58" s="30" t="str">
        <f t="shared" si="1"/>
        <v/>
      </c>
      <c r="V58" t="str">
        <f t="shared" si="5"/>
        <v>1.2.1.14.                   Herramientas</v>
      </c>
    </row>
    <row r="59" spans="1:22" x14ac:dyDescent="0.25">
      <c r="A59" s="34" t="s">
        <v>332</v>
      </c>
      <c r="B59" s="4" t="s">
        <v>203</v>
      </c>
      <c r="C59" s="30">
        <f t="array" ref="C59">SUM(IF(CodigoD=CodigoB,1,0)*DEBE)</f>
        <v>0</v>
      </c>
      <c r="D59" s="30">
        <f t="array" ref="D59">SUM(IF(CodigoD=CodigoB,1,0)*HABER)</f>
        <v>0</v>
      </c>
      <c r="E59" s="30" t="str">
        <f t="shared" si="0"/>
        <v/>
      </c>
      <c r="F59" s="30" t="str">
        <f t="shared" si="1"/>
        <v/>
      </c>
      <c r="V59" t="str">
        <f t="shared" si="5"/>
        <v>1.2.1.15.                   Depreciación Acumulada de Herramientas</v>
      </c>
    </row>
    <row r="60" spans="1:22" x14ac:dyDescent="0.25">
      <c r="A60" s="34" t="s">
        <v>331</v>
      </c>
      <c r="B60" s="4" t="s">
        <v>198</v>
      </c>
      <c r="C60" s="30">
        <f t="array" ref="C60">SUM(IF(CodigoD=CodigoB,1,0)*DEBE)</f>
        <v>0</v>
      </c>
      <c r="D60" s="30">
        <f t="array" ref="D60">SUM(IF(CodigoD=CodigoB,1,0)*HABER)</f>
        <v>0</v>
      </c>
      <c r="E60" s="30" t="str">
        <f t="shared" si="0"/>
        <v/>
      </c>
      <c r="F60" s="30" t="str">
        <f t="shared" si="1"/>
        <v/>
      </c>
      <c r="V60" t="str">
        <f t="shared" si="5"/>
        <v>1.2.1.16.                   Equipo de computo</v>
      </c>
    </row>
    <row r="61" spans="1:22" x14ac:dyDescent="0.25">
      <c r="A61" s="34" t="s">
        <v>330</v>
      </c>
      <c r="B61" s="4" t="s">
        <v>204</v>
      </c>
      <c r="C61" s="30">
        <f t="array" ref="C61">SUM(IF(CodigoD=CodigoB,1,0)*DEBE)</f>
        <v>0</v>
      </c>
      <c r="D61" s="30">
        <f t="array" ref="D61">SUM(IF(CodigoD=CodigoB,1,0)*HABER)</f>
        <v>0</v>
      </c>
      <c r="E61" s="30" t="str">
        <f t="shared" si="0"/>
        <v/>
      </c>
      <c r="F61" s="30" t="str">
        <f t="shared" si="1"/>
        <v/>
      </c>
      <c r="V61" t="str">
        <f t="shared" si="5"/>
        <v>1.2.1.17.                   Depreciación Acumulada de Equipo de computo</v>
      </c>
    </row>
    <row r="62" spans="1:22" x14ac:dyDescent="0.25">
      <c r="A62" s="34" t="s">
        <v>329</v>
      </c>
      <c r="B62" s="4" t="s">
        <v>205</v>
      </c>
      <c r="C62" s="30">
        <f t="array" ref="C62">SUM(IF(CodigoD=CodigoB,1,0)*DEBE)</f>
        <v>0</v>
      </c>
      <c r="D62" s="30">
        <f t="array" ref="D62">SUM(IF(CodigoD=CodigoB,1,0)*HABER)</f>
        <v>0</v>
      </c>
      <c r="E62" s="30" t="str">
        <f t="shared" si="0"/>
        <v/>
      </c>
      <c r="F62" s="30" t="str">
        <f t="shared" si="1"/>
        <v/>
      </c>
      <c r="V62" t="str">
        <f>A62&amp;"                   "&amp;B62</f>
        <v>1.2.2.                   Propiedad de inversion</v>
      </c>
    </row>
    <row r="63" spans="1:22" x14ac:dyDescent="0.25">
      <c r="A63" s="34" t="s">
        <v>328</v>
      </c>
      <c r="B63" s="4" t="s">
        <v>206</v>
      </c>
      <c r="C63" s="30">
        <f t="array" ref="C63">SUM(IF(CodigoD=CodigoB,1,0)*DEBE)</f>
        <v>0</v>
      </c>
      <c r="D63" s="30">
        <f t="array" ref="D63">SUM(IF(CodigoD=CodigoB,1,0)*HABER)</f>
        <v>0</v>
      </c>
      <c r="E63" s="30" t="str">
        <f t="shared" si="0"/>
        <v/>
      </c>
      <c r="F63" s="30" t="str">
        <f t="shared" si="1"/>
        <v/>
      </c>
      <c r="V63" t="str">
        <f>A63&amp;"                     "&amp;B63</f>
        <v>1.2.2.1.                     Propiedad de inversion Edificios</v>
      </c>
    </row>
    <row r="64" spans="1:22" x14ac:dyDescent="0.25">
      <c r="A64" s="34" t="s">
        <v>327</v>
      </c>
      <c r="B64" s="4" t="s">
        <v>207</v>
      </c>
      <c r="C64" s="30">
        <f t="array" ref="C64">SUM(IF(CodigoD=CodigoB,1,0)*DEBE)</f>
        <v>0</v>
      </c>
      <c r="D64" s="30">
        <f t="array" ref="D64">SUM(IF(CodigoD=CodigoB,1,0)*HABER)</f>
        <v>0</v>
      </c>
      <c r="E64" s="30" t="str">
        <f t="shared" si="0"/>
        <v/>
      </c>
      <c r="F64" s="30" t="str">
        <f t="shared" si="1"/>
        <v/>
      </c>
      <c r="V64" t="str">
        <f>A64&amp;"                     "&amp;B64</f>
        <v>1.2.2.2.                     Propiedad de inversion Terrenos</v>
      </c>
    </row>
    <row r="65" spans="1:22" x14ac:dyDescent="0.25">
      <c r="A65" s="34" t="s">
        <v>326</v>
      </c>
      <c r="B65" s="4" t="s">
        <v>76</v>
      </c>
      <c r="C65" s="30">
        <f t="array" ref="C65">SUM(IF(CodigoD=CodigoB,1,0)*DEBE)</f>
        <v>0</v>
      </c>
      <c r="D65" s="30">
        <f t="array" ref="D65">SUM(IF(CodigoD=CodigoB,1,0)*HABER)</f>
        <v>0</v>
      </c>
      <c r="E65" s="30" t="str">
        <f t="shared" si="0"/>
        <v/>
      </c>
      <c r="F65" s="30" t="str">
        <f t="shared" si="1"/>
        <v/>
      </c>
      <c r="V65" t="str">
        <f>A65&amp;"                   "&amp;B65</f>
        <v>1.2.3.                   Activos Intangibles</v>
      </c>
    </row>
    <row r="66" spans="1:22" x14ac:dyDescent="0.25">
      <c r="A66" s="34" t="s">
        <v>325</v>
      </c>
      <c r="B66" s="4" t="s">
        <v>77</v>
      </c>
      <c r="C66" s="30">
        <f t="array" ref="C66">SUM(IF(CodigoD=CodigoB,1,0)*DEBE)</f>
        <v>0</v>
      </c>
      <c r="D66" s="30">
        <f t="array" ref="D66">SUM(IF(CodigoD=CodigoB,1,0)*HABER)</f>
        <v>0</v>
      </c>
      <c r="E66" s="30" t="str">
        <f t="shared" si="0"/>
        <v/>
      </c>
      <c r="F66" s="30" t="str">
        <f t="shared" si="1"/>
        <v/>
      </c>
      <c r="V66" t="str">
        <f t="shared" ref="V66:V72" si="6">A66&amp;"                     "&amp;B66</f>
        <v>1.2.3.1.                     Crédito Mercantil</v>
      </c>
    </row>
    <row r="67" spans="1:22" x14ac:dyDescent="0.25">
      <c r="A67" s="34" t="s">
        <v>324</v>
      </c>
      <c r="B67" s="4" t="s">
        <v>78</v>
      </c>
      <c r="C67" s="30">
        <f t="array" ref="C67">SUM(IF(CodigoD=CodigoB,1,0)*DEBE)</f>
        <v>0</v>
      </c>
      <c r="D67" s="30">
        <f t="array" ref="D67">SUM(IF(CodigoD=CodigoB,1,0)*HABER)</f>
        <v>0</v>
      </c>
      <c r="E67" s="30" t="str">
        <f t="shared" si="0"/>
        <v/>
      </c>
      <c r="F67" s="30" t="str">
        <f t="shared" si="1"/>
        <v/>
      </c>
      <c r="V67" t="str">
        <f t="shared" si="6"/>
        <v>1.2.3.2.                     Patentes</v>
      </c>
    </row>
    <row r="68" spans="1:22" x14ac:dyDescent="0.25">
      <c r="A68" s="34" t="s">
        <v>323</v>
      </c>
      <c r="B68" s="4" t="s">
        <v>212</v>
      </c>
      <c r="C68" s="30">
        <f t="array" ref="C68">SUM(IF(CodigoD=CodigoB,1,0)*DEBE)</f>
        <v>0</v>
      </c>
      <c r="D68" s="30">
        <f t="array" ref="D68">SUM(IF(CodigoD=CodigoB,1,0)*HABER)</f>
        <v>0</v>
      </c>
      <c r="E68" s="30" t="str">
        <f t="shared" si="0"/>
        <v/>
      </c>
      <c r="F68" s="30" t="str">
        <f t="shared" si="1"/>
        <v/>
      </c>
      <c r="V68" t="str">
        <f t="shared" si="6"/>
        <v>1.2.3.3.                     Licencias y concesiones</v>
      </c>
    </row>
    <row r="69" spans="1:22" x14ac:dyDescent="0.25">
      <c r="A69" s="34" t="s">
        <v>322</v>
      </c>
      <c r="B69" s="4" t="s">
        <v>209</v>
      </c>
      <c r="C69" s="30">
        <f t="array" ref="C69">SUM(IF(CodigoD=CodigoB,1,0)*DEBE)</f>
        <v>0</v>
      </c>
      <c r="D69" s="30">
        <f t="array" ref="D69">SUM(IF(CodigoD=CodigoB,1,0)*HABER)</f>
        <v>0</v>
      </c>
      <c r="E69" s="30" t="str">
        <f t="shared" si="0"/>
        <v/>
      </c>
      <c r="F69" s="30" t="str">
        <f t="shared" si="1"/>
        <v/>
      </c>
      <c r="V69" t="str">
        <f t="shared" si="6"/>
        <v>1.2.3.4.                     Marcas</v>
      </c>
    </row>
    <row r="70" spans="1:22" x14ac:dyDescent="0.25">
      <c r="A70" s="34" t="s">
        <v>321</v>
      </c>
      <c r="B70" s="4" t="s">
        <v>210</v>
      </c>
      <c r="C70" s="30">
        <f t="array" ref="C70">SUM(IF(CodigoD=CodigoB,1,0)*DEBE)</f>
        <v>0</v>
      </c>
      <c r="D70" s="30">
        <f t="array" ref="D70">SUM(IF(CodigoD=CodigoB,1,0)*HABER)</f>
        <v>0</v>
      </c>
      <c r="E70" s="30" t="str">
        <f t="shared" si="0"/>
        <v/>
      </c>
      <c r="F70" s="30" t="str">
        <f t="shared" si="1"/>
        <v/>
      </c>
      <c r="V70" t="str">
        <f t="shared" si="6"/>
        <v>1.2.3.5.                     Derechos de autor</v>
      </c>
    </row>
    <row r="71" spans="1:22" x14ac:dyDescent="0.25">
      <c r="A71" s="34" t="s">
        <v>320</v>
      </c>
      <c r="B71" s="4" t="s">
        <v>211</v>
      </c>
      <c r="C71" s="30">
        <f t="array" ref="C71">SUM(IF(CodigoD=CodigoB,1,0)*DEBE)</f>
        <v>0</v>
      </c>
      <c r="D71" s="30">
        <f t="array" ref="D71">SUM(IF(CodigoD=CodigoB,1,0)*HABER)</f>
        <v>0</v>
      </c>
      <c r="E71" s="30" t="str">
        <f t="shared" si="0"/>
        <v/>
      </c>
      <c r="F71" s="30" t="str">
        <f t="shared" si="1"/>
        <v/>
      </c>
      <c r="V71" t="str">
        <f t="shared" si="6"/>
        <v>1.2.3.6.                     Franquicias</v>
      </c>
    </row>
    <row r="72" spans="1:22" x14ac:dyDescent="0.25">
      <c r="A72" s="34" t="s">
        <v>319</v>
      </c>
      <c r="B72" s="4" t="s">
        <v>213</v>
      </c>
      <c r="C72" s="30">
        <f t="array" ref="C72">SUM(IF(CodigoD=CodigoB,1,0)*DEBE)</f>
        <v>0</v>
      </c>
      <c r="D72" s="30">
        <f t="array" ref="D72">SUM(IF(CodigoD=CodigoB,1,0)*HABER)</f>
        <v>0</v>
      </c>
      <c r="E72" s="30" t="str">
        <f t="shared" si="0"/>
        <v/>
      </c>
      <c r="F72" s="30" t="str">
        <f t="shared" si="1"/>
        <v/>
      </c>
      <c r="V72" t="str">
        <f t="shared" si="6"/>
        <v>1.2.3.7.                     Software informatico</v>
      </c>
    </row>
    <row r="73" spans="1:22" x14ac:dyDescent="0.25">
      <c r="A73" s="34">
        <v>2</v>
      </c>
      <c r="B73" s="4" t="s">
        <v>79</v>
      </c>
      <c r="C73" s="30">
        <f t="array" ref="C73">SUM(IF(CodigoD=CodigoB,1,0)*DEBE)</f>
        <v>0</v>
      </c>
      <c r="D73" s="30">
        <f t="array" ref="D73">SUM(IF(CodigoD=CodigoB,1,0)*HABER)</f>
        <v>0</v>
      </c>
      <c r="E73" s="30" t="str">
        <f t="shared" si="0"/>
        <v/>
      </c>
      <c r="F73" s="30" t="str">
        <f t="shared" si="1"/>
        <v/>
      </c>
      <c r="V73" t="str">
        <f>A73&amp;"                 "&amp;B73</f>
        <v>2                 Pasivo</v>
      </c>
    </row>
    <row r="74" spans="1:22" x14ac:dyDescent="0.25">
      <c r="A74" s="34" t="s">
        <v>318</v>
      </c>
      <c r="B74" s="4" t="s">
        <v>80</v>
      </c>
      <c r="C74" s="30">
        <f t="array" ref="C74">SUM(IF(CodigoD=CodigoB,1,0)*DEBE)</f>
        <v>0</v>
      </c>
      <c r="D74" s="30">
        <f t="array" ref="D74">SUM(IF(CodigoD=CodigoB,1,0)*HABER)</f>
        <v>0</v>
      </c>
      <c r="E74" s="30" t="str">
        <f t="shared" si="0"/>
        <v/>
      </c>
      <c r="F74" s="30" t="str">
        <f t="shared" si="1"/>
        <v/>
      </c>
      <c r="V74" t="str">
        <f>A74&amp;"                  "&amp;B74</f>
        <v>2.1.                  Pasivo Corriente</v>
      </c>
    </row>
    <row r="75" spans="1:22" x14ac:dyDescent="0.25">
      <c r="A75" s="34" t="s">
        <v>317</v>
      </c>
      <c r="B75" s="4" t="s">
        <v>221</v>
      </c>
      <c r="C75" s="30">
        <f t="array" ref="C75">SUM(IF(CodigoD=CodigoB,1,0)*DEBE)</f>
        <v>0</v>
      </c>
      <c r="D75" s="30">
        <f t="array" ref="D75">SUM(IF(CodigoD=CodigoB,1,0)*HABER)</f>
        <v>0</v>
      </c>
      <c r="E75" s="30" t="str">
        <f t="shared" ref="E75:E138" si="7">IF(C75&gt;D75,C75-D75,"")</f>
        <v/>
      </c>
      <c r="F75" s="30" t="str">
        <f t="shared" ref="F75:F138" si="8">IF(C75&lt;D75,D75-C75,"")</f>
        <v/>
      </c>
      <c r="V75" t="str">
        <f>A75&amp;"                   "&amp;B75</f>
        <v>2.1.1.                   Acreedores y otras cuentas por pagar</v>
      </c>
    </row>
    <row r="76" spans="1:22" x14ac:dyDescent="0.25">
      <c r="A76" s="34" t="s">
        <v>316</v>
      </c>
      <c r="B76" s="4" t="s">
        <v>81</v>
      </c>
      <c r="C76" s="30">
        <f t="array" ref="C76">SUM(IF(CodigoD=CodigoB,1,0)*DEBE)</f>
        <v>0</v>
      </c>
      <c r="D76" s="30">
        <f t="array" ref="D76">SUM(IF(CodigoD=CodigoB,1,0)*HABER)</f>
        <v>0</v>
      </c>
      <c r="E76" s="30" t="str">
        <f t="shared" si="7"/>
        <v/>
      </c>
      <c r="F76" s="30" t="str">
        <f t="shared" si="8"/>
        <v/>
      </c>
      <c r="V76" t="str">
        <f t="shared" ref="V76:V83" si="9">A76&amp;"                     "&amp;B76</f>
        <v>2.1.1.1.                     Proveedores</v>
      </c>
    </row>
    <row r="77" spans="1:22" x14ac:dyDescent="0.25">
      <c r="A77" s="34" t="s">
        <v>315</v>
      </c>
      <c r="B77" s="4" t="s">
        <v>82</v>
      </c>
      <c r="C77" s="30">
        <f t="array" ref="C77">SUM(IF(CodigoD=CodigoB,1,0)*DEBE)</f>
        <v>0</v>
      </c>
      <c r="D77" s="30">
        <f t="array" ref="D77">SUM(IF(CodigoD=CodigoB,1,0)*HABER)</f>
        <v>0</v>
      </c>
      <c r="E77" s="30" t="str">
        <f t="shared" si="7"/>
        <v/>
      </c>
      <c r="F77" s="30" t="str">
        <f t="shared" si="8"/>
        <v/>
      </c>
      <c r="V77" t="str">
        <f t="shared" si="9"/>
        <v>2.1.1.2.                     Acreedores Varios</v>
      </c>
    </row>
    <row r="78" spans="1:22" x14ac:dyDescent="0.25">
      <c r="A78" s="34" t="s">
        <v>314</v>
      </c>
      <c r="B78" s="4" t="s">
        <v>83</v>
      </c>
      <c r="C78" s="30">
        <f t="array" ref="C78">SUM(IF(CodigoD=CodigoB,1,0)*DEBE)</f>
        <v>0</v>
      </c>
      <c r="D78" s="30">
        <f t="array" ref="D78">SUM(IF(CodigoD=CodigoB,1,0)*HABER)</f>
        <v>0</v>
      </c>
      <c r="E78" s="30" t="str">
        <f t="shared" si="7"/>
        <v/>
      </c>
      <c r="F78" s="30" t="str">
        <f t="shared" si="8"/>
        <v/>
      </c>
      <c r="V78" t="str">
        <f t="shared" si="9"/>
        <v>2.1.1.3.                     Documentos por Pagar</v>
      </c>
    </row>
    <row r="79" spans="1:22" x14ac:dyDescent="0.25">
      <c r="A79" s="34" t="s">
        <v>313</v>
      </c>
      <c r="B79" s="4" t="s">
        <v>84</v>
      </c>
      <c r="C79" s="30">
        <f t="array" ref="C79">SUM(IF(CodigoD=CodigoB,1,0)*DEBE)</f>
        <v>0</v>
      </c>
      <c r="D79" s="30">
        <f t="array" ref="D79">SUM(IF(CodigoD=CodigoB,1,0)*HABER)</f>
        <v>0</v>
      </c>
      <c r="E79" s="30" t="str">
        <f t="shared" si="7"/>
        <v/>
      </c>
      <c r="F79" s="30" t="str">
        <f t="shared" si="8"/>
        <v/>
      </c>
      <c r="V79" t="str">
        <f t="shared" si="9"/>
        <v>2.1.1.4.                     Impuestos Por Pagar</v>
      </c>
    </row>
    <row r="80" spans="1:22" x14ac:dyDescent="0.25">
      <c r="A80" s="34" t="s">
        <v>312</v>
      </c>
      <c r="B80" s="4" t="s">
        <v>227</v>
      </c>
      <c r="C80" s="30">
        <f t="array" ref="C80">SUM(IF(CodigoD=CodigoB,1,0)*DEBE)</f>
        <v>0</v>
      </c>
      <c r="D80" s="30">
        <f t="array" ref="D80">SUM(IF(CodigoD=CodigoB,1,0)*HABER)</f>
        <v>0</v>
      </c>
      <c r="E80" s="30" t="str">
        <f t="shared" si="7"/>
        <v/>
      </c>
      <c r="F80" s="30" t="str">
        <f t="shared" si="8"/>
        <v/>
      </c>
      <c r="V80" t="str">
        <f t="shared" si="9"/>
        <v>2.1.1.5.                     Sueldos por pagar</v>
      </c>
    </row>
    <row r="81" spans="1:22" x14ac:dyDescent="0.25">
      <c r="A81" s="34" t="s">
        <v>272</v>
      </c>
      <c r="B81" s="4" t="s">
        <v>228</v>
      </c>
      <c r="C81" s="30">
        <f t="array" ref="C81">SUM(IF(CodigoD=CodigoB,1,0)*DEBE)</f>
        <v>0</v>
      </c>
      <c r="D81" s="30">
        <f t="array" ref="D81">SUM(IF(CodigoD=CodigoB,1,0)*HABER)</f>
        <v>0</v>
      </c>
      <c r="E81" s="30" t="str">
        <f t="shared" si="7"/>
        <v/>
      </c>
      <c r="F81" s="30" t="str">
        <f t="shared" si="8"/>
        <v/>
      </c>
      <c r="V81" t="str">
        <f t="shared" si="9"/>
        <v>2.1.1.6.                     Servicios publicos por pagar</v>
      </c>
    </row>
    <row r="82" spans="1:22" x14ac:dyDescent="0.25">
      <c r="A82" s="34" t="s">
        <v>271</v>
      </c>
      <c r="B82" s="4" t="s">
        <v>229</v>
      </c>
      <c r="C82" s="30">
        <f t="array" ref="C82">SUM(IF(CodigoD=CodigoB,1,0)*DEBE)</f>
        <v>0</v>
      </c>
      <c r="D82" s="30">
        <f t="array" ref="D82">SUM(IF(CodigoD=CodigoB,1,0)*HABER)</f>
        <v>0</v>
      </c>
      <c r="E82" s="30" t="str">
        <f t="shared" si="7"/>
        <v/>
      </c>
      <c r="F82" s="30" t="str">
        <f t="shared" si="8"/>
        <v/>
      </c>
      <c r="V82" t="str">
        <f t="shared" si="9"/>
        <v>2.1.1.7.                     Proviciones por pagar</v>
      </c>
    </row>
    <row r="83" spans="1:22" x14ac:dyDescent="0.25">
      <c r="A83" s="34" t="s">
        <v>270</v>
      </c>
      <c r="B83" s="4" t="s">
        <v>230</v>
      </c>
      <c r="C83" s="30">
        <f t="array" ref="C83">SUM(IF(CodigoD=CodigoB,1,0)*DEBE)</f>
        <v>0</v>
      </c>
      <c r="D83" s="30">
        <f t="array" ref="D83">SUM(IF(CodigoD=CodigoB,1,0)*HABER)</f>
        <v>200000</v>
      </c>
      <c r="E83" s="30" t="str">
        <f t="shared" si="7"/>
        <v/>
      </c>
      <c r="F83" s="30">
        <f t="shared" si="8"/>
        <v>200000</v>
      </c>
      <c r="V83" t="str">
        <f t="shared" si="9"/>
        <v>2.1.1.8.                     Prestamos por pagar</v>
      </c>
    </row>
    <row r="84" spans="1:22" x14ac:dyDescent="0.25">
      <c r="A84" s="34" t="s">
        <v>269</v>
      </c>
      <c r="B84" s="4" t="s">
        <v>234</v>
      </c>
      <c r="C84" s="30">
        <f t="array" ref="C84">SUM(IF(CodigoD=CodigoB,1,0)*DEBE)</f>
        <v>0</v>
      </c>
      <c r="D84" s="30">
        <f t="array" ref="D84">SUM(IF(CodigoD=CodigoB,1,0)*HABER)</f>
        <v>0</v>
      </c>
      <c r="E84" s="30" t="str">
        <f t="shared" si="7"/>
        <v/>
      </c>
      <c r="F84" s="30" t="str">
        <f t="shared" si="8"/>
        <v/>
      </c>
      <c r="V84" t="str">
        <f>A84&amp;"                   "&amp;B84</f>
        <v>2.1.2.                   Valores cobrados por anticipado</v>
      </c>
    </row>
    <row r="85" spans="1:22" x14ac:dyDescent="0.25">
      <c r="A85" s="34" t="s">
        <v>268</v>
      </c>
      <c r="B85" s="4" t="s">
        <v>238</v>
      </c>
      <c r="C85" s="30">
        <f t="array" ref="C85">SUM(IF(CodigoD=CodigoB,1,0)*DEBE)</f>
        <v>0</v>
      </c>
      <c r="D85" s="30">
        <f t="array" ref="D85">SUM(IF(CodigoD=CodigoB,1,0)*HABER)</f>
        <v>0</v>
      </c>
      <c r="E85" s="30" t="str">
        <f t="shared" si="7"/>
        <v/>
      </c>
      <c r="F85" s="30" t="str">
        <f t="shared" si="8"/>
        <v/>
      </c>
      <c r="V85" t="str">
        <f>A85&amp;"                     "&amp;B85</f>
        <v>2.1.2.1.                     Rentas cobradas por anticipado</v>
      </c>
    </row>
    <row r="86" spans="1:22" x14ac:dyDescent="0.25">
      <c r="A86" s="34" t="s">
        <v>267</v>
      </c>
      <c r="B86" s="4" t="s">
        <v>240</v>
      </c>
      <c r="C86" s="30">
        <f t="array" ref="C86">SUM(IF(CodigoD=CodigoB,1,0)*DEBE)</f>
        <v>0</v>
      </c>
      <c r="D86" s="30">
        <f t="array" ref="D86">SUM(IF(CodigoD=CodigoB,1,0)*HABER)</f>
        <v>0</v>
      </c>
      <c r="E86" s="30" t="str">
        <f t="shared" si="7"/>
        <v/>
      </c>
      <c r="F86" s="30" t="str">
        <f t="shared" si="8"/>
        <v/>
      </c>
      <c r="V86" t="str">
        <f>A86&amp;"                     "&amp;B86</f>
        <v>2.1.2.2.                     Anticipo de clientes</v>
      </c>
    </row>
    <row r="87" spans="1:22" x14ac:dyDescent="0.25">
      <c r="A87" s="34" t="s">
        <v>266</v>
      </c>
      <c r="B87" s="4" t="s">
        <v>239</v>
      </c>
      <c r="C87" s="30">
        <f t="array" ref="C87">SUM(IF(CodigoD=CodigoB,1,0)*DEBE)</f>
        <v>0</v>
      </c>
      <c r="D87" s="30">
        <f t="array" ref="D87">SUM(IF(CodigoD=CodigoB,1,0)*HABER)</f>
        <v>0</v>
      </c>
      <c r="E87" s="30" t="str">
        <f t="shared" si="7"/>
        <v/>
      </c>
      <c r="F87" s="30" t="str">
        <f t="shared" si="8"/>
        <v/>
      </c>
      <c r="V87" t="str">
        <f>A87&amp;"                     "&amp;B87</f>
        <v>2.1.2.3.                     Servicios cobrados por anticipado</v>
      </c>
    </row>
    <row r="88" spans="1:22" x14ac:dyDescent="0.25">
      <c r="A88" s="34" t="s">
        <v>265</v>
      </c>
      <c r="B88" s="4" t="s">
        <v>85</v>
      </c>
      <c r="C88" s="30">
        <f t="array" ref="C88">SUM(IF(CodigoD=CodigoB,1,0)*DEBE)</f>
        <v>0</v>
      </c>
      <c r="D88" s="30">
        <f t="array" ref="D88">SUM(IF(CodigoD=CodigoB,1,0)*HABER)</f>
        <v>0</v>
      </c>
      <c r="E88" s="30" t="str">
        <f t="shared" si="7"/>
        <v/>
      </c>
      <c r="F88" s="30" t="str">
        <f t="shared" si="8"/>
        <v/>
      </c>
      <c r="V88" t="str">
        <f>A88&amp;"                  "&amp;B88</f>
        <v>2.2.                  Pasivo NO Corriente</v>
      </c>
    </row>
    <row r="89" spans="1:22" x14ac:dyDescent="0.25">
      <c r="A89" s="34" t="s">
        <v>264</v>
      </c>
      <c r="B89" s="4" t="s">
        <v>86</v>
      </c>
      <c r="C89" s="30">
        <f t="array" ref="C89">SUM(IF(CodigoD=CodigoB,1,0)*DEBE)</f>
        <v>0</v>
      </c>
      <c r="D89" s="30">
        <f t="array" ref="D89">SUM(IF(CodigoD=CodigoB,1,0)*HABER)</f>
        <v>0</v>
      </c>
      <c r="E89" s="30" t="str">
        <f t="shared" si="7"/>
        <v/>
      </c>
      <c r="F89" s="30" t="str">
        <f t="shared" si="8"/>
        <v/>
      </c>
      <c r="V89" t="str">
        <f>A89&amp;"                   "&amp;B89</f>
        <v>2.2.1.                   Préstamos  por Pagar</v>
      </c>
    </row>
    <row r="90" spans="1:22" x14ac:dyDescent="0.25">
      <c r="A90" s="34" t="s">
        <v>263</v>
      </c>
      <c r="B90" s="4" t="s">
        <v>241</v>
      </c>
      <c r="C90" s="30">
        <f t="array" ref="C90">SUM(IF(CodigoD=CodigoB,1,0)*DEBE)</f>
        <v>0</v>
      </c>
      <c r="D90" s="30">
        <f t="array" ref="D90">SUM(IF(CodigoD=CodigoB,1,0)*HABER)</f>
        <v>0</v>
      </c>
      <c r="E90" s="30" t="str">
        <f t="shared" si="7"/>
        <v/>
      </c>
      <c r="F90" s="30" t="str">
        <f t="shared" si="8"/>
        <v/>
      </c>
      <c r="V90" t="str">
        <f>A90&amp;"                   "&amp;B90</f>
        <v>2.2.2.                   Beneficios por pagar a empleados</v>
      </c>
    </row>
    <row r="91" spans="1:22" x14ac:dyDescent="0.25">
      <c r="A91" s="34" t="s">
        <v>262</v>
      </c>
      <c r="B91" s="4" t="s">
        <v>87</v>
      </c>
      <c r="C91" s="30">
        <f t="array" ref="C91">SUM(IF(CodigoD=CodigoB,1,0)*DEBE)</f>
        <v>0</v>
      </c>
      <c r="D91" s="30">
        <f t="array" ref="D91">SUM(IF(CodigoD=CodigoB,1,0)*HABER)</f>
        <v>0</v>
      </c>
      <c r="E91" s="30" t="str">
        <f t="shared" si="7"/>
        <v/>
      </c>
      <c r="F91" s="30" t="str">
        <f t="shared" si="8"/>
        <v/>
      </c>
      <c r="V91" t="str">
        <f>A91&amp;"                   "&amp;B91</f>
        <v>2.2.3.                   Reserva Laboral</v>
      </c>
    </row>
    <row r="92" spans="1:22" x14ac:dyDescent="0.25">
      <c r="A92" s="34">
        <v>3</v>
      </c>
      <c r="B92" s="4" t="s">
        <v>88</v>
      </c>
      <c r="C92" s="30">
        <f t="array" ref="C92">SUM(IF(CodigoD=CodigoB,1,0)*DEBE)</f>
        <v>0</v>
      </c>
      <c r="D92" s="30">
        <f t="array" ref="D92">SUM(IF(CodigoD=CodigoB,1,0)*HABER)</f>
        <v>0</v>
      </c>
      <c r="E92" s="30" t="str">
        <f t="shared" si="7"/>
        <v/>
      </c>
      <c r="F92" s="30" t="str">
        <f t="shared" si="8"/>
        <v/>
      </c>
      <c r="V92" t="str">
        <f>A92&amp;"                 "&amp;B92</f>
        <v>3                 Patrimonio</v>
      </c>
    </row>
    <row r="93" spans="1:22" x14ac:dyDescent="0.25">
      <c r="A93" s="34" t="s">
        <v>261</v>
      </c>
      <c r="B93" s="4" t="s">
        <v>89</v>
      </c>
      <c r="C93" s="30">
        <f t="array" ref="C93">SUM(IF(CodigoD=CodigoB,1,0)*DEBE)</f>
        <v>0</v>
      </c>
      <c r="D93" s="30">
        <f t="array" ref="D93">SUM(IF(CodigoD=CodigoB,1,0)*HABER)</f>
        <v>15000</v>
      </c>
      <c r="E93" s="30" t="str">
        <f t="shared" si="7"/>
        <v/>
      </c>
      <c r="F93" s="30">
        <f t="shared" si="8"/>
        <v>15000</v>
      </c>
      <c r="V93" t="str">
        <f>A93&amp;"                  "&amp;B93</f>
        <v>3.1.                  Capital Social</v>
      </c>
    </row>
    <row r="94" spans="1:22" x14ac:dyDescent="0.25">
      <c r="A94" s="34" t="s">
        <v>260</v>
      </c>
      <c r="B94" s="4" t="s">
        <v>90</v>
      </c>
      <c r="C94" s="30">
        <f t="array" ref="C94">SUM(IF(CodigoD=CodigoB,1,0)*DEBE)</f>
        <v>0</v>
      </c>
      <c r="D94" s="30">
        <f t="array" ref="D94">SUM(IF(CodigoD=CodigoB,1,0)*HABER)</f>
        <v>0</v>
      </c>
      <c r="E94" s="30" t="str">
        <f t="shared" si="7"/>
        <v/>
      </c>
      <c r="F94" s="30" t="str">
        <f t="shared" si="8"/>
        <v/>
      </c>
      <c r="V94" t="str">
        <f>A94&amp;"                  "&amp;B94</f>
        <v>3.2.                  Utilidad o pérdida acumulada</v>
      </c>
    </row>
    <row r="95" spans="1:22" x14ac:dyDescent="0.25">
      <c r="A95" s="34" t="s">
        <v>259</v>
      </c>
      <c r="B95" s="4" t="s">
        <v>91</v>
      </c>
      <c r="C95" s="30">
        <f t="array" ref="C95">SUM(IF(CodigoD=CodigoB,1,0)*DEBE)</f>
        <v>0</v>
      </c>
      <c r="D95" s="30">
        <f t="array" ref="D95">SUM(IF(CodigoD=CodigoB,1,0)*HABER)</f>
        <v>0</v>
      </c>
      <c r="E95" s="30" t="str">
        <f t="shared" si="7"/>
        <v/>
      </c>
      <c r="F95" s="30" t="str">
        <f t="shared" si="8"/>
        <v/>
      </c>
      <c r="V95" t="str">
        <f>A95&amp;"                  "&amp;B95</f>
        <v>3.3.                  Utilidad o pérdida del período</v>
      </c>
    </row>
    <row r="96" spans="1:22" x14ac:dyDescent="0.25">
      <c r="A96" s="34" t="s">
        <v>258</v>
      </c>
      <c r="B96" s="4" t="s">
        <v>92</v>
      </c>
      <c r="C96" s="30">
        <f t="array" ref="C96">SUM(IF(CodigoD=CodigoB,1,0)*DEBE)</f>
        <v>0</v>
      </c>
      <c r="D96" s="30">
        <f t="array" ref="D96">SUM(IF(CodigoD=CodigoB,1,0)*HABER)</f>
        <v>0</v>
      </c>
      <c r="E96" s="30" t="str">
        <f t="shared" si="7"/>
        <v/>
      </c>
      <c r="F96" s="30" t="str">
        <f t="shared" si="8"/>
        <v/>
      </c>
      <c r="V96" t="str">
        <f>A96&amp;"                  "&amp;B96</f>
        <v>3.4.                  Reserva Legal</v>
      </c>
    </row>
    <row r="97" spans="1:22" x14ac:dyDescent="0.25">
      <c r="A97" s="34">
        <v>4</v>
      </c>
      <c r="B97" s="4" t="s">
        <v>93</v>
      </c>
      <c r="C97" s="30">
        <f t="array" ref="C97">SUM(IF(CodigoD=CodigoB,1,0)*DEBE)</f>
        <v>0</v>
      </c>
      <c r="D97" s="30">
        <f t="array" ref="D97">SUM(IF(CodigoD=CodigoB,1,0)*HABER)</f>
        <v>0</v>
      </c>
      <c r="E97" s="30" t="str">
        <f t="shared" si="7"/>
        <v/>
      </c>
      <c r="F97" s="30" t="str">
        <f t="shared" si="8"/>
        <v/>
      </c>
      <c r="V97" t="str">
        <f>A97&amp;"                 "&amp;B97</f>
        <v>4                 Ingresos</v>
      </c>
    </row>
    <row r="98" spans="1:22" x14ac:dyDescent="0.25">
      <c r="A98" s="34" t="s">
        <v>257</v>
      </c>
      <c r="B98" s="4" t="s">
        <v>94</v>
      </c>
      <c r="C98" s="30">
        <f t="array" ref="C98">SUM(IF(CodigoD=CodigoB,1,0)*DEBE)</f>
        <v>0</v>
      </c>
      <c r="D98" s="30">
        <f t="array" ref="D98">SUM(IF(CodigoD=CodigoB,1,0)*HABER)</f>
        <v>0</v>
      </c>
      <c r="E98" s="30" t="str">
        <f t="shared" si="7"/>
        <v/>
      </c>
      <c r="F98" s="30" t="str">
        <f t="shared" si="8"/>
        <v/>
      </c>
      <c r="V98" t="str">
        <f>A98&amp;"                  "&amp;B98</f>
        <v>4.1.                  Ingresos Ordinarios</v>
      </c>
    </row>
    <row r="99" spans="1:22" x14ac:dyDescent="0.25">
      <c r="A99" s="34" t="s">
        <v>256</v>
      </c>
      <c r="B99" s="4" t="s">
        <v>95</v>
      </c>
      <c r="C99" s="30">
        <f t="array" ref="C99">SUM(IF(CodigoD=CodigoB,1,0)*DEBE)</f>
        <v>0</v>
      </c>
      <c r="D99" s="30">
        <f t="array" ref="D99">SUM(IF(CodigoD=CodigoB,1,0)*HABER)</f>
        <v>6000</v>
      </c>
      <c r="E99" s="30" t="str">
        <f t="shared" si="7"/>
        <v/>
      </c>
      <c r="F99" s="30">
        <f t="shared" si="8"/>
        <v>6000</v>
      </c>
      <c r="V99" t="str">
        <f>A99&amp;"                   "&amp;B99</f>
        <v>4.1.1.                   Ventas</v>
      </c>
    </row>
    <row r="100" spans="1:22" x14ac:dyDescent="0.25">
      <c r="A100" s="34" t="s">
        <v>255</v>
      </c>
      <c r="B100" s="4" t="s">
        <v>96</v>
      </c>
      <c r="C100" s="30">
        <f t="array" ref="C100">SUM(IF(CodigoD=CodigoB,1,0)*DEBE)</f>
        <v>0</v>
      </c>
      <c r="D100" s="30">
        <f t="array" ref="D100">SUM(IF(CodigoD=CodigoB,1,0)*HABER)</f>
        <v>0</v>
      </c>
      <c r="E100" s="30" t="str">
        <f t="shared" si="7"/>
        <v/>
      </c>
      <c r="F100" s="30" t="str">
        <f t="shared" si="8"/>
        <v/>
      </c>
      <c r="V100" t="str">
        <f>A100&amp;"                   "&amp;B100</f>
        <v>4.1.2.                   Devoluciones Sobre Ventas</v>
      </c>
    </row>
    <row r="101" spans="1:22" x14ac:dyDescent="0.25">
      <c r="A101" s="34" t="s">
        <v>254</v>
      </c>
      <c r="B101" s="4" t="s">
        <v>97</v>
      </c>
      <c r="C101" s="30">
        <f t="array" ref="C101">SUM(IF(CodigoD=CodigoB,1,0)*DEBE)</f>
        <v>0</v>
      </c>
      <c r="D101" s="30">
        <f t="array" ref="D101">SUM(IF(CodigoD=CodigoB,1,0)*HABER)</f>
        <v>0</v>
      </c>
      <c r="E101" s="30" t="str">
        <f t="shared" si="7"/>
        <v/>
      </c>
      <c r="F101" s="30" t="str">
        <f t="shared" si="8"/>
        <v/>
      </c>
      <c r="V101" t="str">
        <f>A101&amp;"                   "&amp;B101</f>
        <v>4.1.3.                   Rebajas Sobre Ventas</v>
      </c>
    </row>
    <row r="102" spans="1:22" x14ac:dyDescent="0.25">
      <c r="A102" s="34" t="s">
        <v>253</v>
      </c>
      <c r="B102" s="4" t="s">
        <v>98</v>
      </c>
      <c r="C102" s="30">
        <f t="array" ref="C102">SUM(IF(CodigoD=CodigoB,1,0)*DEBE)</f>
        <v>0</v>
      </c>
      <c r="D102" s="30">
        <f t="array" ref="D102">SUM(IF(CodigoD=CodigoB,1,0)*HABER)</f>
        <v>0</v>
      </c>
      <c r="E102" s="30" t="str">
        <f t="shared" si="7"/>
        <v/>
      </c>
      <c r="F102" s="30" t="str">
        <f t="shared" si="8"/>
        <v/>
      </c>
      <c r="V102" t="str">
        <f>A102&amp;"                  "&amp;B102</f>
        <v>4.2.                  Ingresos Extraordinarios</v>
      </c>
    </row>
    <row r="103" spans="1:22" x14ac:dyDescent="0.25">
      <c r="A103" s="34" t="s">
        <v>252</v>
      </c>
      <c r="B103" s="4" t="s">
        <v>99</v>
      </c>
      <c r="C103" s="30">
        <f t="array" ref="C103">SUM(IF(CodigoD=CodigoB,1,0)*DEBE)</f>
        <v>0</v>
      </c>
      <c r="D103" s="30">
        <f t="array" ref="D103">SUM(IF(CodigoD=CodigoB,1,0)*HABER)</f>
        <v>0</v>
      </c>
      <c r="E103" s="30" t="str">
        <f t="shared" si="7"/>
        <v/>
      </c>
      <c r="F103" s="30" t="str">
        <f t="shared" si="8"/>
        <v/>
      </c>
      <c r="V103" t="str">
        <f>A103&amp;"                   "&amp;B103</f>
        <v>4.2.1.                   Otros Ingresos</v>
      </c>
    </row>
    <row r="104" spans="1:22" x14ac:dyDescent="0.25">
      <c r="A104" s="34">
        <v>5</v>
      </c>
      <c r="B104" s="4" t="s">
        <v>100</v>
      </c>
      <c r="C104" s="30">
        <f t="array" ref="C104">SUM(IF(CodigoD=CodigoB,1,0)*DEBE)</f>
        <v>0</v>
      </c>
      <c r="D104" s="30">
        <f t="array" ref="D104">SUM(IF(CodigoD=CodigoB,1,0)*HABER)</f>
        <v>0</v>
      </c>
      <c r="E104" s="30" t="str">
        <f t="shared" si="7"/>
        <v/>
      </c>
      <c r="F104" s="30" t="str">
        <f t="shared" si="8"/>
        <v/>
      </c>
      <c r="V104" t="str">
        <f>A104&amp;"                 "&amp;B104</f>
        <v>5                 Costo de Ventas</v>
      </c>
    </row>
    <row r="105" spans="1:22" x14ac:dyDescent="0.25">
      <c r="A105" s="34" t="s">
        <v>251</v>
      </c>
      <c r="B105" s="4" t="s">
        <v>101</v>
      </c>
      <c r="C105" s="30">
        <f t="array" ref="C105">SUM(IF(CodigoD=CodigoB,1,0)*DEBE)</f>
        <v>72200</v>
      </c>
      <c r="D105" s="30">
        <f t="array" ref="D105">SUM(IF(CodigoD=CodigoB,1,0)*HABER)</f>
        <v>0</v>
      </c>
      <c r="E105" s="30">
        <f t="shared" si="7"/>
        <v>72200</v>
      </c>
      <c r="F105" s="30" t="str">
        <f t="shared" si="8"/>
        <v/>
      </c>
      <c r="V105" t="str">
        <f>A105&amp;"                  "&amp;B105</f>
        <v>5.1.                  Compras</v>
      </c>
    </row>
    <row r="106" spans="1:22" x14ac:dyDescent="0.25">
      <c r="A106" s="34" t="s">
        <v>250</v>
      </c>
      <c r="B106" s="4" t="s">
        <v>102</v>
      </c>
      <c r="C106" s="30">
        <f t="array" ref="C106">SUM(IF(CodigoD=CodigoB,1,0)*DEBE)</f>
        <v>0</v>
      </c>
      <c r="D106" s="30">
        <f t="array" ref="D106">SUM(IF(CodigoD=CodigoB,1,0)*HABER)</f>
        <v>0</v>
      </c>
      <c r="E106" s="30" t="str">
        <f t="shared" si="7"/>
        <v/>
      </c>
      <c r="F106" s="30" t="str">
        <f t="shared" si="8"/>
        <v/>
      </c>
      <c r="V106" t="str">
        <f>A106&amp;"                  "&amp;B106</f>
        <v>5.2.                  Gastos Sobre Compras</v>
      </c>
    </row>
    <row r="107" spans="1:22" x14ac:dyDescent="0.25">
      <c r="A107" s="34" t="s">
        <v>249</v>
      </c>
      <c r="B107" s="4" t="s">
        <v>103</v>
      </c>
      <c r="C107" s="30">
        <f t="array" ref="C107">SUM(IF(CodigoD=CodigoB,1,0)*DEBE)</f>
        <v>0</v>
      </c>
      <c r="D107" s="30">
        <f t="array" ref="D107">SUM(IF(CodigoD=CodigoB,1,0)*HABER)</f>
        <v>0</v>
      </c>
      <c r="E107" s="30" t="str">
        <f t="shared" si="7"/>
        <v/>
      </c>
      <c r="F107" s="30" t="str">
        <f t="shared" si="8"/>
        <v/>
      </c>
      <c r="V107" t="str">
        <f>A107&amp;"                  "&amp;B107</f>
        <v>5.3.                  Devoluciones sobre compras</v>
      </c>
    </row>
    <row r="108" spans="1:22" x14ac:dyDescent="0.25">
      <c r="A108" s="34" t="s">
        <v>248</v>
      </c>
      <c r="B108" s="4" t="s">
        <v>104</v>
      </c>
      <c r="C108" s="30">
        <f t="array" ref="C108">SUM(IF(CodigoD=CodigoB,1,0)*DEBE)</f>
        <v>0</v>
      </c>
      <c r="D108" s="30">
        <f t="array" ref="D108">SUM(IF(CodigoD=CodigoB,1,0)*HABER)</f>
        <v>0</v>
      </c>
      <c r="E108" s="30" t="str">
        <f t="shared" si="7"/>
        <v/>
      </c>
      <c r="F108" s="30" t="str">
        <f t="shared" si="8"/>
        <v/>
      </c>
      <c r="V108" t="str">
        <f>A108&amp;"                  "&amp;B108</f>
        <v>5.4.                  Descuentos y rebajas sobre compras</v>
      </c>
    </row>
    <row r="109" spans="1:22" x14ac:dyDescent="0.25">
      <c r="A109" s="34">
        <v>6</v>
      </c>
      <c r="B109" s="4" t="s">
        <v>105</v>
      </c>
      <c r="C109" s="30">
        <f t="array" ref="C109">SUM(IF(CodigoD=CodigoB,1,0)*DEBE)</f>
        <v>0</v>
      </c>
      <c r="D109" s="30">
        <f t="array" ref="D109">SUM(IF(CodigoD=CodigoB,1,0)*HABER)</f>
        <v>0</v>
      </c>
      <c r="E109" s="30" t="str">
        <f t="shared" si="7"/>
        <v/>
      </c>
      <c r="F109" s="30" t="str">
        <f t="shared" si="8"/>
        <v/>
      </c>
      <c r="V109" t="str">
        <f>A109&amp;"                 "&amp;B109</f>
        <v>6                 Gastos Operativos</v>
      </c>
    </row>
    <row r="110" spans="1:22" x14ac:dyDescent="0.25">
      <c r="A110" s="34" t="s">
        <v>247</v>
      </c>
      <c r="B110" s="4" t="s">
        <v>106</v>
      </c>
      <c r="C110" s="30">
        <f t="array" ref="C110">SUM(IF(CodigoD=CodigoB,1,0)*DEBE)</f>
        <v>0</v>
      </c>
      <c r="D110" s="30">
        <f t="array" ref="D110">SUM(IF(CodigoD=CodigoB,1,0)*HABER)</f>
        <v>0</v>
      </c>
      <c r="E110" s="30" t="str">
        <f t="shared" si="7"/>
        <v/>
      </c>
      <c r="F110" s="30" t="str">
        <f t="shared" si="8"/>
        <v/>
      </c>
      <c r="V110" t="str">
        <f>A110&amp;"                  "&amp;B110</f>
        <v>6.1.                  Gastos Administración</v>
      </c>
    </row>
    <row r="111" spans="1:22" x14ac:dyDescent="0.25">
      <c r="A111" s="34" t="s">
        <v>246</v>
      </c>
      <c r="B111" s="4" t="s">
        <v>107</v>
      </c>
      <c r="C111" s="30">
        <f t="array" ref="C111">SUM(IF(CodigoD=CodigoB,1,0)*DEBE)</f>
        <v>0</v>
      </c>
      <c r="D111" s="30">
        <f t="array" ref="D111">SUM(IF(CodigoD=CodigoB,1,0)*HABER)</f>
        <v>0</v>
      </c>
      <c r="E111" s="30" t="str">
        <f t="shared" si="7"/>
        <v/>
      </c>
      <c r="F111" s="30" t="str">
        <f t="shared" si="8"/>
        <v/>
      </c>
      <c r="V111" t="str">
        <f>A111&amp;"                  "&amp;B111</f>
        <v>6.2.                  Gastos de Ventas</v>
      </c>
    </row>
    <row r="112" spans="1:22" x14ac:dyDescent="0.25">
      <c r="A112" s="34" t="s">
        <v>245</v>
      </c>
      <c r="B112" s="4" t="s">
        <v>108</v>
      </c>
      <c r="C112" s="30">
        <f t="array" ref="C112">SUM(IF(CodigoD=CodigoB,1,0)*DEBE)</f>
        <v>0</v>
      </c>
      <c r="D112" s="30">
        <f t="array" ref="D112">SUM(IF(CodigoD=CodigoB,1,0)*HABER)</f>
        <v>0</v>
      </c>
      <c r="E112" s="30" t="str">
        <f t="shared" si="7"/>
        <v/>
      </c>
      <c r="F112" s="30" t="str">
        <f t="shared" si="8"/>
        <v/>
      </c>
      <c r="V112" t="str">
        <f>A112&amp;"                  "&amp;B112</f>
        <v>6.3.                  Gastos Financieros</v>
      </c>
    </row>
    <row r="113" spans="1:22" x14ac:dyDescent="0.25">
      <c r="A113" s="34" t="s">
        <v>244</v>
      </c>
      <c r="B113" s="4" t="s">
        <v>109</v>
      </c>
      <c r="C113" s="30">
        <f t="array" ref="C113">SUM(IF(CodigoD=CodigoB,1,0)*DEBE)</f>
        <v>150</v>
      </c>
      <c r="D113" s="30">
        <f t="array" ref="D113">SUM(IF(CodigoD=CodigoB,1,0)*HABER)</f>
        <v>0</v>
      </c>
      <c r="E113" s="30">
        <f t="shared" si="7"/>
        <v>150</v>
      </c>
      <c r="F113" s="30" t="str">
        <f t="shared" si="8"/>
        <v/>
      </c>
      <c r="V113" t="str">
        <f>A113&amp;"                  "&amp;B113</f>
        <v>6.4.                  Otros Gastos</v>
      </c>
    </row>
    <row r="114" spans="1:22" x14ac:dyDescent="0.25">
      <c r="A114" s="34"/>
      <c r="B114" s="4"/>
      <c r="C114" s="30">
        <f t="array" ref="C114">SUM(IF(CodigoD=CodigoB,1,0)*DEBE)</f>
        <v>0</v>
      </c>
      <c r="D114" s="30">
        <f t="array" ref="D114">SUM(IF(CodigoD=CodigoB,1,0)*HABER)</f>
        <v>0</v>
      </c>
      <c r="E114" s="30" t="str">
        <f t="shared" si="7"/>
        <v/>
      </c>
      <c r="F114" s="30" t="str">
        <f t="shared" si="8"/>
        <v/>
      </c>
      <c r="V114" t="str">
        <f>A114&amp;""&amp;B114</f>
        <v/>
      </c>
    </row>
    <row r="115" spans="1:22" x14ac:dyDescent="0.25">
      <c r="A115" s="34"/>
      <c r="B115" s="4"/>
      <c r="C115" s="30">
        <f t="array" ref="C115">SUM(IF(CodigoD=CodigoB,1,0)*DEBE)</f>
        <v>0</v>
      </c>
      <c r="D115" s="30">
        <f t="array" ref="D115">SUM(IF(CodigoD=CodigoB,1,0)*HABER)</f>
        <v>0</v>
      </c>
      <c r="E115" s="30" t="str">
        <f t="shared" si="7"/>
        <v/>
      </c>
      <c r="F115" s="30" t="str">
        <f t="shared" si="8"/>
        <v/>
      </c>
      <c r="V115" t="str">
        <f t="shared" ref="V115:V117" si="10">A115&amp;""&amp;B115</f>
        <v/>
      </c>
    </row>
    <row r="116" spans="1:22" x14ac:dyDescent="0.25">
      <c r="A116" s="34"/>
      <c r="B116" s="4"/>
      <c r="C116" s="30">
        <f t="array" ref="C116">SUM(IF(CodigoD=CodigoB,1,0)*DEBE)</f>
        <v>0</v>
      </c>
      <c r="D116" s="30">
        <f t="array" ref="D116">SUM(IF(CodigoD=CodigoB,1,0)*HABER)</f>
        <v>0</v>
      </c>
      <c r="E116" s="30" t="str">
        <f t="shared" si="7"/>
        <v/>
      </c>
      <c r="F116" s="30" t="str">
        <f t="shared" si="8"/>
        <v/>
      </c>
      <c r="V116" t="str">
        <f t="shared" si="10"/>
        <v/>
      </c>
    </row>
    <row r="117" spans="1:22" x14ac:dyDescent="0.25">
      <c r="A117" s="34"/>
      <c r="B117" s="4"/>
      <c r="C117" s="30">
        <f t="array" ref="C117">SUM(IF(CodigoD=CodigoB,1,0)*DEBE)</f>
        <v>0</v>
      </c>
      <c r="D117" s="30">
        <f t="array" ref="D117">SUM(IF(CodigoD=CodigoB,1,0)*HABER)</f>
        <v>0</v>
      </c>
      <c r="E117" s="30" t="str">
        <f t="shared" si="7"/>
        <v/>
      </c>
      <c r="F117" s="30" t="str">
        <f t="shared" si="8"/>
        <v/>
      </c>
      <c r="V117" t="str">
        <f t="shared" si="10"/>
        <v/>
      </c>
    </row>
    <row r="118" spans="1:22" x14ac:dyDescent="0.25">
      <c r="A118" s="34"/>
      <c r="B118" s="4"/>
      <c r="C118" s="30">
        <f t="array" ref="C118">SUM(IF(CodigoD=CodigoB,1,0)*DEBE)</f>
        <v>0</v>
      </c>
      <c r="D118" s="30">
        <f t="array" ref="D118">SUM(IF(CodigoD=CodigoB,1,0)*HABER)</f>
        <v>0</v>
      </c>
      <c r="E118" s="30" t="str">
        <f t="shared" si="7"/>
        <v/>
      </c>
      <c r="F118" s="30" t="str">
        <f t="shared" si="8"/>
        <v/>
      </c>
    </row>
    <row r="119" spans="1:22" x14ac:dyDescent="0.25">
      <c r="A119" s="34"/>
      <c r="B119" s="4"/>
      <c r="C119" s="30">
        <f t="array" ref="C119">SUM(IF(CodigoD=CodigoB,1,0)*DEBE)</f>
        <v>0</v>
      </c>
      <c r="D119" s="30">
        <f t="array" ref="D119">SUM(IF(CodigoD=CodigoB,1,0)*HABER)</f>
        <v>0</v>
      </c>
      <c r="E119" s="30" t="str">
        <f t="shared" si="7"/>
        <v/>
      </c>
      <c r="F119" s="30" t="str">
        <f t="shared" si="8"/>
        <v/>
      </c>
    </row>
    <row r="120" spans="1:22" x14ac:dyDescent="0.25">
      <c r="A120" s="34"/>
      <c r="B120" s="4"/>
      <c r="C120" s="30">
        <f t="array" ref="C120">SUM(IF(CodigoD=CodigoB,1,0)*DEBE)</f>
        <v>0</v>
      </c>
      <c r="D120" s="30">
        <f t="array" ref="D120">SUM(IF(CodigoD=CodigoB,1,0)*HABER)</f>
        <v>0</v>
      </c>
      <c r="E120" s="30" t="str">
        <f t="shared" si="7"/>
        <v/>
      </c>
      <c r="F120" s="30" t="str">
        <f t="shared" si="8"/>
        <v/>
      </c>
    </row>
    <row r="121" spans="1:22" x14ac:dyDescent="0.25">
      <c r="A121" s="34"/>
      <c r="B121" s="4"/>
      <c r="C121" s="30">
        <f t="array" ref="C121">SUM(IF(CodigoD=CodigoB,1,0)*DEBE)</f>
        <v>0</v>
      </c>
      <c r="D121" s="30">
        <f t="array" ref="D121">SUM(IF(CodigoD=CodigoB,1,0)*HABER)</f>
        <v>0</v>
      </c>
      <c r="E121" s="30" t="str">
        <f t="shared" si="7"/>
        <v/>
      </c>
      <c r="F121" s="30" t="str">
        <f t="shared" si="8"/>
        <v/>
      </c>
    </row>
    <row r="122" spans="1:22" x14ac:dyDescent="0.25">
      <c r="A122" s="34"/>
      <c r="B122" s="4"/>
      <c r="C122" s="30">
        <f t="array" ref="C122">SUM(IF(CodigoD=CodigoB,1,0)*DEBE)</f>
        <v>0</v>
      </c>
      <c r="D122" s="30">
        <f t="array" ref="D122">SUM(IF(CodigoD=CodigoB,1,0)*HABER)</f>
        <v>0</v>
      </c>
      <c r="E122" s="30" t="str">
        <f t="shared" si="7"/>
        <v/>
      </c>
      <c r="F122" s="30" t="str">
        <f t="shared" si="8"/>
        <v/>
      </c>
    </row>
    <row r="123" spans="1:22" x14ac:dyDescent="0.25">
      <c r="A123" s="34"/>
      <c r="B123" s="4"/>
      <c r="C123" s="30">
        <f t="array" ref="C123">SUM(IF(CodigoD=CodigoB,1,0)*DEBE)</f>
        <v>0</v>
      </c>
      <c r="D123" s="30">
        <f t="array" ref="D123">SUM(IF(CodigoD=CodigoB,1,0)*HABER)</f>
        <v>0</v>
      </c>
      <c r="E123" s="30" t="str">
        <f t="shared" si="7"/>
        <v/>
      </c>
      <c r="F123" s="30" t="str">
        <f t="shared" si="8"/>
        <v/>
      </c>
    </row>
    <row r="124" spans="1:22" x14ac:dyDescent="0.25">
      <c r="A124" s="34"/>
      <c r="B124" s="4"/>
      <c r="C124" s="30">
        <f t="array" ref="C124">SUM(IF(CodigoD=CodigoB,1,0)*DEBE)</f>
        <v>0</v>
      </c>
      <c r="D124" s="30">
        <f t="array" ref="D124">SUM(IF(CodigoD=CodigoB,1,0)*HABER)</f>
        <v>0</v>
      </c>
      <c r="E124" s="30" t="str">
        <f t="shared" si="7"/>
        <v/>
      </c>
      <c r="F124" s="30" t="str">
        <f t="shared" si="8"/>
        <v/>
      </c>
    </row>
    <row r="125" spans="1:22" x14ac:dyDescent="0.25">
      <c r="A125" s="34"/>
      <c r="B125" s="4"/>
      <c r="C125" s="30">
        <f t="array" ref="C125">SUM(IF(CodigoD=CodigoB,1,0)*DEBE)</f>
        <v>0</v>
      </c>
      <c r="D125" s="30">
        <f t="array" ref="D125">SUM(IF(CodigoD=CodigoB,1,0)*HABER)</f>
        <v>0</v>
      </c>
      <c r="E125" s="30" t="str">
        <f t="shared" si="7"/>
        <v/>
      </c>
      <c r="F125" s="30" t="str">
        <f t="shared" si="8"/>
        <v/>
      </c>
    </row>
    <row r="126" spans="1:22" x14ac:dyDescent="0.25">
      <c r="A126" s="34"/>
      <c r="B126" s="4"/>
      <c r="C126" s="30">
        <f t="array" ref="C126">SUM(IF(CodigoD=CodigoB,1,0)*DEBE)</f>
        <v>0</v>
      </c>
      <c r="D126" s="30">
        <f t="array" ref="D126">SUM(IF(CodigoD=CodigoB,1,0)*HABER)</f>
        <v>0</v>
      </c>
      <c r="E126" s="30" t="str">
        <f t="shared" si="7"/>
        <v/>
      </c>
      <c r="F126" s="30" t="str">
        <f t="shared" si="8"/>
        <v/>
      </c>
    </row>
    <row r="127" spans="1:22" x14ac:dyDescent="0.25">
      <c r="A127" s="34"/>
      <c r="B127" s="4"/>
      <c r="C127" s="30">
        <f t="array" ref="C127">SUM(IF(CodigoD=CodigoB,1,0)*DEBE)</f>
        <v>0</v>
      </c>
      <c r="D127" s="30">
        <f t="array" ref="D127">SUM(IF(CodigoD=CodigoB,1,0)*HABER)</f>
        <v>0</v>
      </c>
      <c r="E127" s="30" t="str">
        <f t="shared" si="7"/>
        <v/>
      </c>
      <c r="F127" s="30" t="str">
        <f t="shared" si="8"/>
        <v/>
      </c>
    </row>
    <row r="128" spans="1:22" x14ac:dyDescent="0.25">
      <c r="A128" s="34"/>
      <c r="B128" s="4"/>
      <c r="C128" s="30">
        <f t="array" ref="C128">SUM(IF(CodigoD=CodigoB,1,0)*DEBE)</f>
        <v>0</v>
      </c>
      <c r="D128" s="30">
        <f t="array" ref="D128">SUM(IF(CodigoD=CodigoB,1,0)*HABER)</f>
        <v>0</v>
      </c>
      <c r="E128" s="30" t="str">
        <f t="shared" si="7"/>
        <v/>
      </c>
      <c r="F128" s="30" t="str">
        <f t="shared" si="8"/>
        <v/>
      </c>
    </row>
    <row r="129" spans="1:6" x14ac:dyDescent="0.25">
      <c r="A129" s="34"/>
      <c r="B129" s="4"/>
      <c r="C129" s="30">
        <f t="array" ref="C129">SUM(IF(CodigoD=CodigoB,1,0)*DEBE)</f>
        <v>0</v>
      </c>
      <c r="D129" s="30">
        <f t="array" ref="D129">SUM(IF(CodigoD=CodigoB,1,0)*HABER)</f>
        <v>0</v>
      </c>
      <c r="E129" s="30" t="str">
        <f t="shared" si="7"/>
        <v/>
      </c>
      <c r="F129" s="30" t="str">
        <f t="shared" si="8"/>
        <v/>
      </c>
    </row>
    <row r="130" spans="1:6" x14ac:dyDescent="0.25">
      <c r="A130" s="34"/>
      <c r="B130" s="4"/>
      <c r="C130" s="30">
        <f t="array" ref="C130">SUM(IF(CodigoD=CodigoB,1,0)*DEBE)</f>
        <v>0</v>
      </c>
      <c r="D130" s="30">
        <f t="array" ref="D130">SUM(IF(CodigoD=CodigoB,1,0)*HABER)</f>
        <v>0</v>
      </c>
      <c r="E130" s="30" t="str">
        <f t="shared" si="7"/>
        <v/>
      </c>
      <c r="F130" s="30" t="str">
        <f t="shared" si="8"/>
        <v/>
      </c>
    </row>
    <row r="131" spans="1:6" x14ac:dyDescent="0.25">
      <c r="A131" s="34"/>
      <c r="B131" s="4"/>
      <c r="C131" s="30">
        <f t="array" ref="C131">SUM(IF(CodigoD=CodigoB,1,0)*DEBE)</f>
        <v>0</v>
      </c>
      <c r="D131" s="30">
        <f t="array" ref="D131">SUM(IF(CodigoD=CodigoB,1,0)*HABER)</f>
        <v>0</v>
      </c>
      <c r="E131" s="30" t="str">
        <f t="shared" si="7"/>
        <v/>
      </c>
      <c r="F131" s="30" t="str">
        <f t="shared" si="8"/>
        <v/>
      </c>
    </row>
    <row r="132" spans="1:6" x14ac:dyDescent="0.25">
      <c r="A132" s="34"/>
      <c r="B132" s="4"/>
      <c r="C132" s="30">
        <f t="array" ref="C132">SUM(IF(CodigoD=CodigoB,1,0)*DEBE)</f>
        <v>0</v>
      </c>
      <c r="D132" s="30">
        <f t="array" ref="D132">SUM(IF(CodigoD=CodigoB,1,0)*HABER)</f>
        <v>0</v>
      </c>
      <c r="E132" s="30" t="str">
        <f t="shared" si="7"/>
        <v/>
      </c>
      <c r="F132" s="30" t="str">
        <f t="shared" si="8"/>
        <v/>
      </c>
    </row>
    <row r="133" spans="1:6" x14ac:dyDescent="0.25">
      <c r="A133" s="34"/>
      <c r="B133" s="4"/>
      <c r="C133" s="30">
        <f t="array" ref="C133">SUM(IF(CodigoD=CodigoB,1,0)*DEBE)</f>
        <v>0</v>
      </c>
      <c r="D133" s="30">
        <f t="array" ref="D133">SUM(IF(CodigoD=CodigoB,1,0)*HABER)</f>
        <v>0</v>
      </c>
      <c r="E133" s="30" t="str">
        <f t="shared" si="7"/>
        <v/>
      </c>
      <c r="F133" s="30" t="str">
        <f t="shared" si="8"/>
        <v/>
      </c>
    </row>
    <row r="134" spans="1:6" x14ac:dyDescent="0.25">
      <c r="A134" s="34"/>
      <c r="B134" s="4"/>
      <c r="C134" s="30">
        <f t="array" ref="C134">SUM(IF(CodigoD=CodigoB,1,0)*DEBE)</f>
        <v>0</v>
      </c>
      <c r="D134" s="30">
        <f t="array" ref="D134">SUM(IF(CodigoD=CodigoB,1,0)*HABER)</f>
        <v>0</v>
      </c>
      <c r="E134" s="30" t="str">
        <f t="shared" si="7"/>
        <v/>
      </c>
      <c r="F134" s="30" t="str">
        <f t="shared" si="8"/>
        <v/>
      </c>
    </row>
    <row r="135" spans="1:6" x14ac:dyDescent="0.25">
      <c r="A135" s="34"/>
      <c r="B135" s="4"/>
      <c r="C135" s="30">
        <f t="array" ref="C135">SUM(IF(CodigoD=CodigoB,1,0)*DEBE)</f>
        <v>0</v>
      </c>
      <c r="D135" s="30">
        <f t="array" ref="D135">SUM(IF(CodigoD=CodigoB,1,0)*HABER)</f>
        <v>0</v>
      </c>
      <c r="E135" s="30" t="str">
        <f t="shared" si="7"/>
        <v/>
      </c>
      <c r="F135" s="30" t="str">
        <f t="shared" si="8"/>
        <v/>
      </c>
    </row>
    <row r="136" spans="1:6" x14ac:dyDescent="0.25">
      <c r="A136" s="34"/>
      <c r="B136" s="4"/>
      <c r="C136" s="30">
        <f t="array" ref="C136">SUM(IF(CodigoD=CodigoB,1,0)*DEBE)</f>
        <v>0</v>
      </c>
      <c r="D136" s="30">
        <f t="array" ref="D136">SUM(IF(CodigoD=CodigoB,1,0)*HABER)</f>
        <v>0</v>
      </c>
      <c r="E136" s="30" t="str">
        <f t="shared" si="7"/>
        <v/>
      </c>
      <c r="F136" s="30" t="str">
        <f t="shared" si="8"/>
        <v/>
      </c>
    </row>
    <row r="137" spans="1:6" x14ac:dyDescent="0.25">
      <c r="A137" s="34"/>
      <c r="B137" s="4"/>
      <c r="C137" s="30">
        <f t="array" ref="C137">SUM(IF(CodigoD=CodigoB,1,0)*DEBE)</f>
        <v>0</v>
      </c>
      <c r="D137" s="30">
        <f t="array" ref="D137">SUM(IF(CodigoD=CodigoB,1,0)*HABER)</f>
        <v>0</v>
      </c>
      <c r="E137" s="30" t="str">
        <f t="shared" si="7"/>
        <v/>
      </c>
      <c r="F137" s="30" t="str">
        <f t="shared" si="8"/>
        <v/>
      </c>
    </row>
    <row r="138" spans="1:6" x14ac:dyDescent="0.25">
      <c r="A138" s="34"/>
      <c r="B138" s="4"/>
      <c r="C138" s="30">
        <f t="array" ref="C138">SUM(IF(CodigoD=CodigoB,1,0)*DEBE)</f>
        <v>0</v>
      </c>
      <c r="D138" s="30">
        <f t="array" ref="D138">SUM(IF(CodigoD=CodigoB,1,0)*HABER)</f>
        <v>0</v>
      </c>
      <c r="E138" s="30" t="str">
        <f t="shared" si="7"/>
        <v/>
      </c>
      <c r="F138" s="30" t="str">
        <f t="shared" si="8"/>
        <v/>
      </c>
    </row>
    <row r="139" spans="1:6" x14ac:dyDescent="0.25">
      <c r="A139" s="34"/>
      <c r="B139" s="4"/>
      <c r="C139" s="30">
        <f t="array" ref="C139">SUM(IF(CodigoD=CodigoB,1,0)*DEBE)</f>
        <v>0</v>
      </c>
      <c r="D139" s="30">
        <f t="array" ref="D139">SUM(IF(CodigoD=CodigoB,1,0)*HABER)</f>
        <v>0</v>
      </c>
      <c r="E139" s="30" t="str">
        <f t="shared" ref="E139:E157" si="11">IF(C139&gt;D139,C139-D139,"")</f>
        <v/>
      </c>
      <c r="F139" s="30" t="str">
        <f t="shared" ref="F139:F157" si="12">IF(C139&lt;D139,D139-C139,"")</f>
        <v/>
      </c>
    </row>
    <row r="140" spans="1:6" x14ac:dyDescent="0.25">
      <c r="A140" s="34"/>
      <c r="B140" s="4"/>
      <c r="C140" s="30">
        <f t="array" ref="C140">SUM(IF(CodigoD=CodigoB,1,0)*DEBE)</f>
        <v>0</v>
      </c>
      <c r="D140" s="30">
        <f t="array" ref="D140">SUM(IF(CodigoD=CodigoB,1,0)*HABER)</f>
        <v>0</v>
      </c>
      <c r="E140" s="30" t="str">
        <f t="shared" si="11"/>
        <v/>
      </c>
      <c r="F140" s="30" t="str">
        <f t="shared" si="12"/>
        <v/>
      </c>
    </row>
    <row r="141" spans="1:6" x14ac:dyDescent="0.25">
      <c r="A141" s="34"/>
      <c r="B141" s="4"/>
      <c r="C141" s="30">
        <f t="array" ref="C141">SUM(IF(CodigoD=CodigoB,1,0)*DEBE)</f>
        <v>0</v>
      </c>
      <c r="D141" s="30">
        <f t="array" ref="D141">SUM(IF(CodigoD=CodigoB,1,0)*HABER)</f>
        <v>0</v>
      </c>
      <c r="E141" s="30" t="str">
        <f t="shared" si="11"/>
        <v/>
      </c>
      <c r="F141" s="30" t="str">
        <f t="shared" si="12"/>
        <v/>
      </c>
    </row>
    <row r="142" spans="1:6" x14ac:dyDescent="0.25">
      <c r="A142" s="34"/>
      <c r="B142" s="4"/>
      <c r="C142" s="30">
        <f t="array" ref="C142">SUM(IF(CodigoD=CodigoB,1,0)*DEBE)</f>
        <v>0</v>
      </c>
      <c r="D142" s="30">
        <f t="array" ref="D142">SUM(IF(CodigoD=CodigoB,1,0)*HABER)</f>
        <v>0</v>
      </c>
      <c r="E142" s="30" t="str">
        <f t="shared" si="11"/>
        <v/>
      </c>
      <c r="F142" s="30" t="str">
        <f t="shared" si="12"/>
        <v/>
      </c>
    </row>
    <row r="143" spans="1:6" x14ac:dyDescent="0.25">
      <c r="A143" s="34"/>
      <c r="B143" s="4"/>
      <c r="C143" s="30">
        <f t="array" ref="C143">SUM(IF(CodigoD=CodigoB,1,0)*DEBE)</f>
        <v>0</v>
      </c>
      <c r="D143" s="30">
        <f t="array" ref="D143">SUM(IF(CodigoD=CodigoB,1,0)*HABER)</f>
        <v>0</v>
      </c>
      <c r="E143" s="30" t="str">
        <f t="shared" si="11"/>
        <v/>
      </c>
      <c r="F143" s="30" t="str">
        <f t="shared" si="12"/>
        <v/>
      </c>
    </row>
    <row r="144" spans="1:6" x14ac:dyDescent="0.25">
      <c r="A144" s="34"/>
      <c r="B144" s="4"/>
      <c r="C144" s="30">
        <f t="array" ref="C144">SUM(IF(CodigoD=CodigoB,1,0)*DEBE)</f>
        <v>0</v>
      </c>
      <c r="D144" s="30">
        <f t="array" ref="D144">SUM(IF(CodigoD=CodigoB,1,0)*HABER)</f>
        <v>0</v>
      </c>
      <c r="E144" s="30" t="str">
        <f t="shared" si="11"/>
        <v/>
      </c>
      <c r="F144" s="30" t="str">
        <f t="shared" si="12"/>
        <v/>
      </c>
    </row>
    <row r="145" spans="1:6" x14ac:dyDescent="0.25">
      <c r="A145" s="34"/>
      <c r="B145" s="4"/>
      <c r="C145" s="30">
        <f t="array" ref="C145">SUM(IF(CodigoD=CodigoB,1,0)*DEBE)</f>
        <v>0</v>
      </c>
      <c r="D145" s="30">
        <f t="array" ref="D145">SUM(IF(CodigoD=CodigoB,1,0)*HABER)</f>
        <v>0</v>
      </c>
      <c r="E145" s="30" t="str">
        <f t="shared" si="11"/>
        <v/>
      </c>
      <c r="F145" s="30" t="str">
        <f t="shared" si="12"/>
        <v/>
      </c>
    </row>
    <row r="146" spans="1:6" x14ac:dyDescent="0.25">
      <c r="A146" s="34"/>
      <c r="B146" s="4"/>
      <c r="C146" s="30">
        <f t="array" ref="C146">SUM(IF(CodigoD=CodigoB,1,0)*DEBE)</f>
        <v>0</v>
      </c>
      <c r="D146" s="30">
        <f t="array" ref="D146">SUM(IF(CodigoD=CodigoB,1,0)*HABER)</f>
        <v>0</v>
      </c>
      <c r="E146" s="30" t="str">
        <f t="shared" si="11"/>
        <v/>
      </c>
      <c r="F146" s="30" t="str">
        <f t="shared" si="12"/>
        <v/>
      </c>
    </row>
    <row r="147" spans="1:6" x14ac:dyDescent="0.25">
      <c r="A147" s="34"/>
      <c r="B147" s="4"/>
      <c r="C147" s="30">
        <f t="array" ref="C147">SUM(IF(CodigoD=CodigoB,1,0)*DEBE)</f>
        <v>0</v>
      </c>
      <c r="D147" s="30">
        <f t="array" ref="D147">SUM(IF(CodigoD=CodigoB,1,0)*HABER)</f>
        <v>0</v>
      </c>
      <c r="E147" s="30" t="str">
        <f t="shared" si="11"/>
        <v/>
      </c>
      <c r="F147" s="30" t="str">
        <f t="shared" si="12"/>
        <v/>
      </c>
    </row>
    <row r="148" spans="1:6" x14ac:dyDescent="0.25">
      <c r="A148" s="34"/>
      <c r="B148" s="4"/>
      <c r="C148" s="30">
        <f t="array" ref="C148">SUM(IF(CodigoD=CodigoB,1,0)*DEBE)</f>
        <v>0</v>
      </c>
      <c r="D148" s="30">
        <f t="array" ref="D148">SUM(IF(CodigoD=CodigoB,1,0)*HABER)</f>
        <v>0</v>
      </c>
      <c r="E148" s="30" t="str">
        <f t="shared" si="11"/>
        <v/>
      </c>
      <c r="F148" s="30" t="str">
        <f t="shared" si="12"/>
        <v/>
      </c>
    </row>
    <row r="149" spans="1:6" x14ac:dyDescent="0.25">
      <c r="A149" s="34"/>
      <c r="B149" s="4"/>
      <c r="C149" s="30">
        <f t="array" ref="C149">SUM(IF(CodigoD=CodigoB,1,0)*DEBE)</f>
        <v>0</v>
      </c>
      <c r="D149" s="30">
        <f t="array" ref="D149">SUM(IF(CodigoD=CodigoB,1,0)*HABER)</f>
        <v>0</v>
      </c>
      <c r="E149" s="30" t="str">
        <f t="shared" si="11"/>
        <v/>
      </c>
      <c r="F149" s="30" t="str">
        <f t="shared" si="12"/>
        <v/>
      </c>
    </row>
    <row r="150" spans="1:6" x14ac:dyDescent="0.25">
      <c r="A150" s="34"/>
      <c r="B150" s="4"/>
      <c r="C150" s="30">
        <f t="array" ref="C150">SUM(IF(CodigoD=CodigoB,1,0)*DEBE)</f>
        <v>0</v>
      </c>
      <c r="D150" s="30">
        <f t="array" ref="D150">SUM(IF(CodigoD=CodigoB,1,0)*HABER)</f>
        <v>0</v>
      </c>
      <c r="E150" s="30" t="str">
        <f t="shared" si="11"/>
        <v/>
      </c>
      <c r="F150" s="30" t="str">
        <f t="shared" si="12"/>
        <v/>
      </c>
    </row>
    <row r="151" spans="1:6" x14ac:dyDescent="0.25">
      <c r="A151" s="34"/>
      <c r="B151" s="4"/>
      <c r="C151" s="30">
        <f t="array" ref="C151">SUM(IF(CodigoD=CodigoB,1,0)*DEBE)</f>
        <v>0</v>
      </c>
      <c r="D151" s="30">
        <f t="array" ref="D151">SUM(IF(CodigoD=CodigoB,1,0)*HABER)</f>
        <v>0</v>
      </c>
      <c r="E151" s="30" t="str">
        <f t="shared" si="11"/>
        <v/>
      </c>
      <c r="F151" s="30" t="str">
        <f t="shared" si="12"/>
        <v/>
      </c>
    </row>
    <row r="152" spans="1:6" x14ac:dyDescent="0.25">
      <c r="A152" s="34"/>
      <c r="B152" s="4"/>
      <c r="C152" s="30">
        <f t="array" ref="C152">SUM(IF(CodigoD=CodigoB,1,0)*DEBE)</f>
        <v>0</v>
      </c>
      <c r="D152" s="30">
        <f t="array" ref="D152">SUM(IF(CodigoD=CodigoB,1,0)*HABER)</f>
        <v>0</v>
      </c>
      <c r="E152" s="30" t="str">
        <f t="shared" si="11"/>
        <v/>
      </c>
      <c r="F152" s="30" t="str">
        <f t="shared" si="12"/>
        <v/>
      </c>
    </row>
    <row r="153" spans="1:6" x14ac:dyDescent="0.25">
      <c r="A153" s="34"/>
      <c r="B153" s="4"/>
      <c r="C153" s="30">
        <f t="array" ref="C153">SUM(IF(CodigoD=CodigoB,1,0)*DEBE)</f>
        <v>0</v>
      </c>
      <c r="D153" s="30">
        <f t="array" ref="D153">SUM(IF(CodigoD=CodigoB,1,0)*HABER)</f>
        <v>0</v>
      </c>
      <c r="E153" s="30" t="str">
        <f t="shared" si="11"/>
        <v/>
      </c>
      <c r="F153" s="30" t="str">
        <f t="shared" si="12"/>
        <v/>
      </c>
    </row>
    <row r="154" spans="1:6" x14ac:dyDescent="0.25">
      <c r="A154" s="34"/>
      <c r="B154" s="4"/>
      <c r="C154" s="30">
        <f t="array" ref="C154">SUM(IF(CodigoD=CodigoB,1,0)*DEBE)</f>
        <v>0</v>
      </c>
      <c r="D154" s="30">
        <f t="array" ref="D154">SUM(IF(CodigoD=CodigoB,1,0)*HABER)</f>
        <v>0</v>
      </c>
      <c r="E154" s="30" t="str">
        <f t="shared" si="11"/>
        <v/>
      </c>
      <c r="F154" s="30" t="str">
        <f t="shared" si="12"/>
        <v/>
      </c>
    </row>
    <row r="155" spans="1:6" x14ac:dyDescent="0.25">
      <c r="A155" s="34"/>
      <c r="B155" s="4"/>
      <c r="C155" s="30">
        <f t="array" ref="C155">SUM(IF(CodigoD=CodigoB,1,0)*DEBE)</f>
        <v>0</v>
      </c>
      <c r="D155" s="30">
        <f t="array" ref="D155">SUM(IF(CodigoD=CodigoB,1,0)*HABER)</f>
        <v>0</v>
      </c>
      <c r="E155" s="30" t="str">
        <f t="shared" si="11"/>
        <v/>
      </c>
      <c r="F155" s="30" t="str">
        <f t="shared" si="12"/>
        <v/>
      </c>
    </row>
    <row r="156" spans="1:6" x14ac:dyDescent="0.25">
      <c r="A156" s="34"/>
      <c r="B156" s="4"/>
      <c r="C156" s="30">
        <f t="array" ref="C156">SUM(IF(CodigoD=CodigoB,1,0)*DEBE)</f>
        <v>0</v>
      </c>
      <c r="D156" s="30">
        <f t="array" ref="D156">SUM(IF(CodigoD=CodigoB,1,0)*HABER)</f>
        <v>0</v>
      </c>
      <c r="E156" s="30" t="str">
        <f t="shared" si="11"/>
        <v/>
      </c>
      <c r="F156" s="30" t="str">
        <f t="shared" si="12"/>
        <v/>
      </c>
    </row>
    <row r="157" spans="1:6" x14ac:dyDescent="0.25">
      <c r="A157" s="34"/>
      <c r="B157" s="4"/>
      <c r="C157" s="30">
        <f t="array" ref="C157">SUM(IF(CodigoD=CodigoB,1,0)*DEBE)</f>
        <v>0</v>
      </c>
      <c r="D157" s="30">
        <f t="array" ref="D157">SUM(IF(CodigoD=CodigoB,1,0)*HABER)</f>
        <v>0</v>
      </c>
      <c r="E157" s="30" t="str">
        <f t="shared" si="11"/>
        <v/>
      </c>
      <c r="F157" s="30" t="str">
        <f t="shared" si="12"/>
        <v/>
      </c>
    </row>
    <row r="158" spans="1:6" ht="15.75" thickBot="1" x14ac:dyDescent="0.3">
      <c r="B158" s="29" t="s">
        <v>56</v>
      </c>
      <c r="C158" s="30">
        <f>SUM(C10:C157)</f>
        <v>10643750</v>
      </c>
      <c r="D158" s="30">
        <f t="shared" ref="D158:F158" si="13">SUM(D10:D157)</f>
        <v>10643750</v>
      </c>
      <c r="E158" s="31">
        <f t="shared" si="13"/>
        <v>10413750</v>
      </c>
      <c r="F158" s="31">
        <f t="shared" si="13"/>
        <v>10413750</v>
      </c>
    </row>
    <row r="159" spans="1:6" ht="15.75" thickTop="1" x14ac:dyDescent="0.25">
      <c r="D159" s="40">
        <f>C158-D158</f>
        <v>0</v>
      </c>
    </row>
  </sheetData>
  <mergeCells count="4">
    <mergeCell ref="C7:D7"/>
    <mergeCell ref="E7:F7"/>
    <mergeCell ref="A1:F1"/>
    <mergeCell ref="A3:F3"/>
  </mergeCells>
  <pageMargins left="0.7" right="0.7" top="0.75" bottom="0.75" header="0.3" footer="0.3"/>
  <pageSetup scale="29" orientation="portrait" horizontalDpi="300" verticalDpi="300" r:id="rId1"/>
  <rowBreaks count="2" manualBreakCount="2">
    <brk id="54" max="5" man="1"/>
    <brk id="99" max="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7"/>
  </sheetPr>
  <dimension ref="B2:C108"/>
  <sheetViews>
    <sheetView workbookViewId="0">
      <selection activeCell="D9" sqref="D9"/>
    </sheetView>
  </sheetViews>
  <sheetFormatPr baseColWidth="10" defaultRowHeight="15" x14ac:dyDescent="0.25"/>
  <cols>
    <col min="2" max="2" width="11.5703125" style="32"/>
    <col min="3" max="3" width="49.140625" customWidth="1"/>
  </cols>
  <sheetData>
    <row r="2" spans="2:3" x14ac:dyDescent="0.25">
      <c r="B2" s="139" t="s">
        <v>57</v>
      </c>
      <c r="C2" s="139"/>
    </row>
    <row r="3" spans="2:3" x14ac:dyDescent="0.25">
      <c r="C3" s="5"/>
    </row>
    <row r="4" spans="2:3" x14ac:dyDescent="0.25">
      <c r="B4" s="64" t="s">
        <v>15</v>
      </c>
      <c r="C4" s="65" t="s">
        <v>58</v>
      </c>
    </row>
    <row r="5" spans="2:3" x14ac:dyDescent="0.25">
      <c r="B5" s="66">
        <v>1</v>
      </c>
      <c r="C5" s="67" t="s">
        <v>59</v>
      </c>
    </row>
    <row r="6" spans="2:3" x14ac:dyDescent="0.25">
      <c r="B6" s="68">
        <v>1.1000000000000001</v>
      </c>
      <c r="C6" s="69" t="s">
        <v>60</v>
      </c>
    </row>
    <row r="7" spans="2:3" x14ac:dyDescent="0.25">
      <c r="B7" s="70" t="s">
        <v>110</v>
      </c>
      <c r="C7" s="71" t="s">
        <v>140</v>
      </c>
    </row>
    <row r="8" spans="2:3" x14ac:dyDescent="0.25">
      <c r="B8" s="68" t="s">
        <v>141</v>
      </c>
      <c r="C8" s="69" t="s">
        <v>61</v>
      </c>
    </row>
    <row r="9" spans="2:3" x14ac:dyDescent="0.25">
      <c r="B9" s="70" t="s">
        <v>142</v>
      </c>
      <c r="C9" s="72" t="s">
        <v>62</v>
      </c>
    </row>
    <row r="10" spans="2:3" x14ac:dyDescent="0.25">
      <c r="B10" s="68" t="s">
        <v>143</v>
      </c>
      <c r="C10" s="69" t="s">
        <v>63</v>
      </c>
    </row>
    <row r="11" spans="2:3" x14ac:dyDescent="0.25">
      <c r="B11" s="70" t="s">
        <v>111</v>
      </c>
      <c r="C11" s="72" t="s">
        <v>145</v>
      </c>
    </row>
    <row r="12" spans="2:3" x14ac:dyDescent="0.25">
      <c r="B12" s="68" t="s">
        <v>144</v>
      </c>
      <c r="C12" s="69" t="s">
        <v>64</v>
      </c>
    </row>
    <row r="13" spans="2:3" x14ac:dyDescent="0.25">
      <c r="B13" s="70" t="s">
        <v>146</v>
      </c>
      <c r="C13" s="72" t="s">
        <v>139</v>
      </c>
    </row>
    <row r="14" spans="2:3" x14ac:dyDescent="0.25">
      <c r="B14" s="68" t="s">
        <v>147</v>
      </c>
      <c r="C14" s="69" t="s">
        <v>153</v>
      </c>
    </row>
    <row r="15" spans="2:3" x14ac:dyDescent="0.25">
      <c r="B15" s="70" t="s">
        <v>148</v>
      </c>
      <c r="C15" s="72" t="s">
        <v>154</v>
      </c>
    </row>
    <row r="16" spans="2:3" x14ac:dyDescent="0.25">
      <c r="B16" s="68" t="s">
        <v>149</v>
      </c>
      <c r="C16" s="69" t="s">
        <v>155</v>
      </c>
    </row>
    <row r="17" spans="2:3" x14ac:dyDescent="0.25">
      <c r="B17" s="70" t="s">
        <v>150</v>
      </c>
      <c r="C17" s="72" t="s">
        <v>156</v>
      </c>
    </row>
    <row r="18" spans="2:3" x14ac:dyDescent="0.25">
      <c r="B18" s="68" t="s">
        <v>151</v>
      </c>
      <c r="C18" s="69" t="s">
        <v>157</v>
      </c>
    </row>
    <row r="19" spans="2:3" x14ac:dyDescent="0.25">
      <c r="B19" s="70" t="s">
        <v>152</v>
      </c>
      <c r="C19" s="72" t="s">
        <v>158</v>
      </c>
    </row>
    <row r="20" spans="2:3" x14ac:dyDescent="0.25">
      <c r="B20" s="68" t="s">
        <v>112</v>
      </c>
      <c r="C20" s="69" t="s">
        <v>65</v>
      </c>
    </row>
    <row r="21" spans="2:3" x14ac:dyDescent="0.25">
      <c r="B21" s="70" t="s">
        <v>113</v>
      </c>
      <c r="C21" s="72" t="s">
        <v>159</v>
      </c>
    </row>
    <row r="22" spans="2:3" x14ac:dyDescent="0.25">
      <c r="B22" s="68" t="s">
        <v>114</v>
      </c>
      <c r="C22" s="69" t="s">
        <v>160</v>
      </c>
    </row>
    <row r="23" spans="2:3" x14ac:dyDescent="0.25">
      <c r="B23" s="70" t="s">
        <v>115</v>
      </c>
      <c r="C23" s="72" t="s">
        <v>161</v>
      </c>
    </row>
    <row r="24" spans="2:3" x14ac:dyDescent="0.25">
      <c r="B24" s="68" t="s">
        <v>116</v>
      </c>
      <c r="C24" s="69" t="s">
        <v>66</v>
      </c>
    </row>
    <row r="25" spans="2:3" x14ac:dyDescent="0.25">
      <c r="B25" s="70" t="s">
        <v>117</v>
      </c>
      <c r="C25" s="72" t="s">
        <v>167</v>
      </c>
    </row>
    <row r="26" spans="2:3" x14ac:dyDescent="0.25">
      <c r="B26" s="68" t="s">
        <v>118</v>
      </c>
      <c r="C26" s="69" t="s">
        <v>168</v>
      </c>
    </row>
    <row r="27" spans="2:3" x14ac:dyDescent="0.25">
      <c r="B27" s="70" t="s">
        <v>119</v>
      </c>
      <c r="C27" s="72" t="s">
        <v>169</v>
      </c>
    </row>
    <row r="28" spans="2:3" x14ac:dyDescent="0.25">
      <c r="B28" s="68" t="s">
        <v>120</v>
      </c>
      <c r="C28" s="69" t="s">
        <v>170</v>
      </c>
    </row>
    <row r="29" spans="2:3" x14ac:dyDescent="0.25">
      <c r="B29" s="70" t="s">
        <v>162</v>
      </c>
      <c r="C29" s="72" t="s">
        <v>171</v>
      </c>
    </row>
    <row r="30" spans="2:3" x14ac:dyDescent="0.25">
      <c r="B30" s="68" t="s">
        <v>163</v>
      </c>
      <c r="C30" s="69" t="s">
        <v>67</v>
      </c>
    </row>
    <row r="31" spans="2:3" x14ac:dyDescent="0.25">
      <c r="B31" s="70" t="s">
        <v>164</v>
      </c>
      <c r="C31" s="72" t="s">
        <v>68</v>
      </c>
    </row>
    <row r="32" spans="2:3" x14ac:dyDescent="0.25">
      <c r="B32" s="68" t="s">
        <v>165</v>
      </c>
      <c r="C32" s="69" t="s">
        <v>172</v>
      </c>
    </row>
    <row r="33" spans="2:3" x14ac:dyDescent="0.25">
      <c r="B33" s="70" t="s">
        <v>166</v>
      </c>
      <c r="C33" s="72" t="s">
        <v>173</v>
      </c>
    </row>
    <row r="34" spans="2:3" x14ac:dyDescent="0.25">
      <c r="B34" s="68" t="s">
        <v>121</v>
      </c>
      <c r="C34" s="69" t="s">
        <v>177</v>
      </c>
    </row>
    <row r="35" spans="2:3" x14ac:dyDescent="0.25">
      <c r="B35" s="70" t="s">
        <v>174</v>
      </c>
      <c r="C35" s="72" t="s">
        <v>178</v>
      </c>
    </row>
    <row r="36" spans="2:3" x14ac:dyDescent="0.25">
      <c r="B36" s="68" t="s">
        <v>175</v>
      </c>
      <c r="C36" s="69" t="s">
        <v>179</v>
      </c>
    </row>
    <row r="37" spans="2:3" x14ac:dyDescent="0.25">
      <c r="B37" s="70" t="s">
        <v>176</v>
      </c>
      <c r="C37" s="72" t="s">
        <v>180</v>
      </c>
    </row>
    <row r="38" spans="2:3" x14ac:dyDescent="0.25">
      <c r="B38" s="68">
        <v>1.2</v>
      </c>
      <c r="C38" s="69" t="s">
        <v>69</v>
      </c>
    </row>
    <row r="39" spans="2:3" x14ac:dyDescent="0.25">
      <c r="B39" s="70" t="s">
        <v>122</v>
      </c>
      <c r="C39" s="72" t="s">
        <v>70</v>
      </c>
    </row>
    <row r="40" spans="2:3" x14ac:dyDescent="0.25">
      <c r="B40" s="68" t="s">
        <v>123</v>
      </c>
      <c r="C40" s="69" t="s">
        <v>71</v>
      </c>
    </row>
    <row r="41" spans="2:3" x14ac:dyDescent="0.25">
      <c r="B41" s="70" t="s">
        <v>124</v>
      </c>
      <c r="C41" s="72" t="s">
        <v>72</v>
      </c>
    </row>
    <row r="42" spans="2:3" x14ac:dyDescent="0.25">
      <c r="B42" s="68" t="s">
        <v>125</v>
      </c>
      <c r="C42" s="69" t="s">
        <v>73</v>
      </c>
    </row>
    <row r="43" spans="2:3" x14ac:dyDescent="0.25">
      <c r="B43" s="70" t="s">
        <v>126</v>
      </c>
      <c r="C43" s="72" t="s">
        <v>74</v>
      </c>
    </row>
    <row r="44" spans="2:3" x14ac:dyDescent="0.25">
      <c r="B44" s="68" t="s">
        <v>127</v>
      </c>
      <c r="C44" s="69" t="s">
        <v>75</v>
      </c>
    </row>
    <row r="45" spans="2:3" x14ac:dyDescent="0.25">
      <c r="B45" s="70" t="s">
        <v>181</v>
      </c>
      <c r="C45" s="72" t="s">
        <v>193</v>
      </c>
    </row>
    <row r="46" spans="2:3" x14ac:dyDescent="0.25">
      <c r="B46" s="68" t="s">
        <v>182</v>
      </c>
      <c r="C46" s="69" t="s">
        <v>200</v>
      </c>
    </row>
    <row r="47" spans="2:3" x14ac:dyDescent="0.25">
      <c r="B47" s="70" t="s">
        <v>183</v>
      </c>
      <c r="C47" s="72" t="s">
        <v>194</v>
      </c>
    </row>
    <row r="48" spans="2:3" x14ac:dyDescent="0.25">
      <c r="B48" s="68" t="s">
        <v>184</v>
      </c>
      <c r="C48" s="69" t="s">
        <v>199</v>
      </c>
    </row>
    <row r="49" spans="2:3" x14ac:dyDescent="0.25">
      <c r="B49" s="70" t="s">
        <v>185</v>
      </c>
      <c r="C49" s="72" t="s">
        <v>195</v>
      </c>
    </row>
    <row r="50" spans="2:3" x14ac:dyDescent="0.25">
      <c r="B50" s="68" t="s">
        <v>186</v>
      </c>
      <c r="C50" s="69" t="s">
        <v>201</v>
      </c>
    </row>
    <row r="51" spans="2:3" x14ac:dyDescent="0.25">
      <c r="B51" s="70" t="s">
        <v>187</v>
      </c>
      <c r="C51" s="72" t="s">
        <v>196</v>
      </c>
    </row>
    <row r="52" spans="2:3" x14ac:dyDescent="0.25">
      <c r="B52" s="68" t="s">
        <v>188</v>
      </c>
      <c r="C52" s="69" t="s">
        <v>202</v>
      </c>
    </row>
    <row r="53" spans="2:3" x14ac:dyDescent="0.25">
      <c r="B53" s="70" t="s">
        <v>189</v>
      </c>
      <c r="C53" s="72" t="s">
        <v>197</v>
      </c>
    </row>
    <row r="54" spans="2:3" x14ac:dyDescent="0.25">
      <c r="B54" s="68" t="s">
        <v>190</v>
      </c>
      <c r="C54" s="69" t="s">
        <v>203</v>
      </c>
    </row>
    <row r="55" spans="2:3" x14ac:dyDescent="0.25">
      <c r="B55" s="70" t="s">
        <v>191</v>
      </c>
      <c r="C55" s="72" t="s">
        <v>198</v>
      </c>
    </row>
    <row r="56" spans="2:3" x14ac:dyDescent="0.25">
      <c r="B56" s="68" t="s">
        <v>192</v>
      </c>
      <c r="C56" s="69" t="s">
        <v>204</v>
      </c>
    </row>
    <row r="57" spans="2:3" x14ac:dyDescent="0.25">
      <c r="B57" s="70" t="s">
        <v>128</v>
      </c>
      <c r="C57" s="72" t="s">
        <v>205</v>
      </c>
    </row>
    <row r="58" spans="2:3" x14ac:dyDescent="0.25">
      <c r="B58" s="68" t="s">
        <v>129</v>
      </c>
      <c r="C58" s="69" t="s">
        <v>206</v>
      </c>
    </row>
    <row r="59" spans="2:3" x14ac:dyDescent="0.25">
      <c r="B59" s="70" t="s">
        <v>130</v>
      </c>
      <c r="C59" s="72" t="s">
        <v>207</v>
      </c>
    </row>
    <row r="60" spans="2:3" x14ac:dyDescent="0.25">
      <c r="B60" s="68" t="s">
        <v>208</v>
      </c>
      <c r="C60" s="69" t="s">
        <v>76</v>
      </c>
    </row>
    <row r="61" spans="2:3" x14ac:dyDescent="0.25">
      <c r="B61" s="70" t="s">
        <v>214</v>
      </c>
      <c r="C61" s="72" t="s">
        <v>77</v>
      </c>
    </row>
    <row r="62" spans="2:3" x14ac:dyDescent="0.25">
      <c r="B62" s="68" t="s">
        <v>215</v>
      </c>
      <c r="C62" s="69" t="s">
        <v>78</v>
      </c>
    </row>
    <row r="63" spans="2:3" x14ac:dyDescent="0.25">
      <c r="B63" s="70" t="s">
        <v>216</v>
      </c>
      <c r="C63" s="72" t="s">
        <v>212</v>
      </c>
    </row>
    <row r="64" spans="2:3" x14ac:dyDescent="0.25">
      <c r="B64" s="68" t="s">
        <v>217</v>
      </c>
      <c r="C64" s="69" t="s">
        <v>209</v>
      </c>
    </row>
    <row r="65" spans="2:3" x14ac:dyDescent="0.25">
      <c r="B65" s="70" t="s">
        <v>218</v>
      </c>
      <c r="C65" s="72" t="s">
        <v>210</v>
      </c>
    </row>
    <row r="66" spans="2:3" x14ac:dyDescent="0.25">
      <c r="B66" s="68" t="s">
        <v>219</v>
      </c>
      <c r="C66" s="69" t="s">
        <v>211</v>
      </c>
    </row>
    <row r="67" spans="2:3" x14ac:dyDescent="0.25">
      <c r="B67" s="70" t="s">
        <v>220</v>
      </c>
      <c r="C67" s="72" t="s">
        <v>213</v>
      </c>
    </row>
    <row r="68" spans="2:3" x14ac:dyDescent="0.25">
      <c r="B68" s="73">
        <v>2</v>
      </c>
      <c r="C68" s="74" t="s">
        <v>79</v>
      </c>
    </row>
    <row r="69" spans="2:3" x14ac:dyDescent="0.25">
      <c r="B69" s="70">
        <v>2.1</v>
      </c>
      <c r="C69" s="72" t="s">
        <v>80</v>
      </c>
    </row>
    <row r="70" spans="2:3" x14ac:dyDescent="0.25">
      <c r="B70" s="68" t="s">
        <v>131</v>
      </c>
      <c r="C70" s="69" t="s">
        <v>221</v>
      </c>
    </row>
    <row r="71" spans="2:3" x14ac:dyDescent="0.25">
      <c r="B71" s="70" t="s">
        <v>222</v>
      </c>
      <c r="C71" s="72" t="s">
        <v>81</v>
      </c>
    </row>
    <row r="72" spans="2:3" x14ac:dyDescent="0.25">
      <c r="B72" s="68" t="s">
        <v>223</v>
      </c>
      <c r="C72" s="69" t="s">
        <v>82</v>
      </c>
    </row>
    <row r="73" spans="2:3" x14ac:dyDescent="0.25">
      <c r="B73" s="70" t="s">
        <v>224</v>
      </c>
      <c r="C73" s="72" t="s">
        <v>83</v>
      </c>
    </row>
    <row r="74" spans="2:3" x14ac:dyDescent="0.25">
      <c r="B74" s="68" t="s">
        <v>225</v>
      </c>
      <c r="C74" s="69" t="s">
        <v>84</v>
      </c>
    </row>
    <row r="75" spans="2:3" x14ac:dyDescent="0.25">
      <c r="B75" s="70" t="s">
        <v>226</v>
      </c>
      <c r="C75" s="72" t="s">
        <v>227</v>
      </c>
    </row>
    <row r="76" spans="2:3" x14ac:dyDescent="0.25">
      <c r="B76" s="68" t="s">
        <v>231</v>
      </c>
      <c r="C76" s="69" t="s">
        <v>228</v>
      </c>
    </row>
    <row r="77" spans="2:3" x14ac:dyDescent="0.25">
      <c r="B77" s="70" t="s">
        <v>232</v>
      </c>
      <c r="C77" s="72" t="s">
        <v>229</v>
      </c>
    </row>
    <row r="78" spans="2:3" x14ac:dyDescent="0.25">
      <c r="B78" s="68" t="s">
        <v>233</v>
      </c>
      <c r="C78" s="69" t="s">
        <v>230</v>
      </c>
    </row>
    <row r="79" spans="2:3" x14ac:dyDescent="0.25">
      <c r="B79" s="70" t="s">
        <v>132</v>
      </c>
      <c r="C79" s="72" t="s">
        <v>234</v>
      </c>
    </row>
    <row r="80" spans="2:3" x14ac:dyDescent="0.25">
      <c r="B80" s="68" t="s">
        <v>235</v>
      </c>
      <c r="C80" s="69" t="s">
        <v>238</v>
      </c>
    </row>
    <row r="81" spans="2:3" x14ac:dyDescent="0.25">
      <c r="B81" s="70" t="s">
        <v>236</v>
      </c>
      <c r="C81" s="72" t="s">
        <v>240</v>
      </c>
    </row>
    <row r="82" spans="2:3" x14ac:dyDescent="0.25">
      <c r="B82" s="68" t="s">
        <v>237</v>
      </c>
      <c r="C82" s="69" t="s">
        <v>239</v>
      </c>
    </row>
    <row r="83" spans="2:3" x14ac:dyDescent="0.25">
      <c r="B83" s="70">
        <v>2.2000000000000002</v>
      </c>
      <c r="C83" s="72" t="s">
        <v>85</v>
      </c>
    </row>
    <row r="84" spans="2:3" x14ac:dyDescent="0.25">
      <c r="B84" s="68" t="s">
        <v>133</v>
      </c>
      <c r="C84" s="69" t="s">
        <v>86</v>
      </c>
    </row>
    <row r="85" spans="2:3" x14ac:dyDescent="0.25">
      <c r="B85" s="70" t="s">
        <v>134</v>
      </c>
      <c r="C85" s="72" t="s">
        <v>241</v>
      </c>
    </row>
    <row r="86" spans="2:3" x14ac:dyDescent="0.25">
      <c r="B86" s="68" t="s">
        <v>242</v>
      </c>
      <c r="C86" s="69" t="s">
        <v>87</v>
      </c>
    </row>
    <row r="87" spans="2:3" x14ac:dyDescent="0.25">
      <c r="B87" s="66">
        <v>3</v>
      </c>
      <c r="C87" s="67" t="s">
        <v>88</v>
      </c>
    </row>
    <row r="88" spans="2:3" x14ac:dyDescent="0.25">
      <c r="B88" s="68">
        <v>3.1</v>
      </c>
      <c r="C88" s="69" t="s">
        <v>89</v>
      </c>
    </row>
    <row r="89" spans="2:3" x14ac:dyDescent="0.25">
      <c r="B89" s="70">
        <v>3.2</v>
      </c>
      <c r="C89" s="72" t="s">
        <v>90</v>
      </c>
    </row>
    <row r="90" spans="2:3" x14ac:dyDescent="0.25">
      <c r="B90" s="68">
        <v>3.3</v>
      </c>
      <c r="C90" s="69" t="s">
        <v>91</v>
      </c>
    </row>
    <row r="91" spans="2:3" x14ac:dyDescent="0.25">
      <c r="B91" s="70">
        <v>3.4</v>
      </c>
      <c r="C91" s="72" t="s">
        <v>92</v>
      </c>
    </row>
    <row r="92" spans="2:3" x14ac:dyDescent="0.25">
      <c r="B92" s="73">
        <v>4</v>
      </c>
      <c r="C92" s="74" t="s">
        <v>93</v>
      </c>
    </row>
    <row r="93" spans="2:3" x14ac:dyDescent="0.25">
      <c r="B93" s="70">
        <v>4.0999999999999996</v>
      </c>
      <c r="C93" s="72" t="s">
        <v>94</v>
      </c>
    </row>
    <row r="94" spans="2:3" x14ac:dyDescent="0.25">
      <c r="B94" s="68" t="s">
        <v>135</v>
      </c>
      <c r="C94" s="69" t="s">
        <v>95</v>
      </c>
    </row>
    <row r="95" spans="2:3" x14ac:dyDescent="0.25">
      <c r="B95" s="70" t="s">
        <v>136</v>
      </c>
      <c r="C95" s="72" t="s">
        <v>96</v>
      </c>
    </row>
    <row r="96" spans="2:3" x14ac:dyDescent="0.25">
      <c r="B96" s="68" t="s">
        <v>137</v>
      </c>
      <c r="C96" s="69" t="s">
        <v>97</v>
      </c>
    </row>
    <row r="97" spans="2:3" x14ac:dyDescent="0.25">
      <c r="B97" s="70">
        <v>4.2</v>
      </c>
      <c r="C97" s="72" t="s">
        <v>98</v>
      </c>
    </row>
    <row r="98" spans="2:3" x14ac:dyDescent="0.25">
      <c r="B98" s="68" t="s">
        <v>138</v>
      </c>
      <c r="C98" s="69" t="s">
        <v>99</v>
      </c>
    </row>
    <row r="99" spans="2:3" x14ac:dyDescent="0.25">
      <c r="B99" s="66">
        <v>5</v>
      </c>
      <c r="C99" s="67" t="s">
        <v>100</v>
      </c>
    </row>
    <row r="100" spans="2:3" x14ac:dyDescent="0.25">
      <c r="B100" s="68">
        <v>5.0999999999999996</v>
      </c>
      <c r="C100" s="69" t="s">
        <v>101</v>
      </c>
    </row>
    <row r="101" spans="2:3" x14ac:dyDescent="0.25">
      <c r="B101" s="70">
        <v>5.2</v>
      </c>
      <c r="C101" s="72" t="s">
        <v>102</v>
      </c>
    </row>
    <row r="102" spans="2:3" x14ac:dyDescent="0.25">
      <c r="B102" s="68">
        <v>5.3</v>
      </c>
      <c r="C102" s="69" t="s">
        <v>103</v>
      </c>
    </row>
    <row r="103" spans="2:3" x14ac:dyDescent="0.25">
      <c r="B103" s="70">
        <v>5.4</v>
      </c>
      <c r="C103" s="72" t="s">
        <v>104</v>
      </c>
    </row>
    <row r="104" spans="2:3" x14ac:dyDescent="0.25">
      <c r="B104" s="73">
        <v>6</v>
      </c>
      <c r="C104" s="74" t="s">
        <v>105</v>
      </c>
    </row>
    <row r="105" spans="2:3" x14ac:dyDescent="0.25">
      <c r="B105" s="70">
        <v>6.1</v>
      </c>
      <c r="C105" s="72" t="s">
        <v>106</v>
      </c>
    </row>
    <row r="106" spans="2:3" x14ac:dyDescent="0.25">
      <c r="B106" s="68">
        <v>6.2</v>
      </c>
      <c r="C106" s="69" t="s">
        <v>107</v>
      </c>
    </row>
    <row r="107" spans="2:3" x14ac:dyDescent="0.25">
      <c r="B107" s="70">
        <v>6.3</v>
      </c>
      <c r="C107" s="72" t="s">
        <v>108</v>
      </c>
    </row>
    <row r="108" spans="2:3" x14ac:dyDescent="0.25">
      <c r="B108" s="68">
        <v>6.4</v>
      </c>
      <c r="C108" s="69" t="s">
        <v>109</v>
      </c>
    </row>
  </sheetData>
  <mergeCells count="1">
    <mergeCell ref="B2:C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98"/>
  <sheetViews>
    <sheetView zoomScaleNormal="100" zoomScaleSheetLayoutView="100" workbookViewId="0">
      <selection activeCell="G18" sqref="G18"/>
    </sheetView>
  </sheetViews>
  <sheetFormatPr baseColWidth="10" defaultRowHeight="15" x14ac:dyDescent="0.25"/>
  <cols>
    <col min="2" max="2" width="45.28515625" customWidth="1"/>
    <col min="3" max="3" width="18.85546875" customWidth="1"/>
    <col min="4" max="4" width="16.42578125" customWidth="1"/>
  </cols>
  <sheetData>
    <row r="1" spans="1:4" ht="14.45" x14ac:dyDescent="0.3">
      <c r="A1" s="110" t="str">
        <f>MENU!C1</f>
        <v>NOMBRE DE LA EMPRESA: Sopas Catrachas</v>
      </c>
      <c r="B1" s="110"/>
      <c r="C1" s="110"/>
      <c r="D1" s="110"/>
    </row>
    <row r="3" spans="1:4" ht="14.45" x14ac:dyDescent="0.3">
      <c r="A3" s="110" t="s">
        <v>347</v>
      </c>
      <c r="B3" s="110"/>
      <c r="C3" s="110"/>
      <c r="D3" s="110"/>
    </row>
    <row r="5" spans="1:4" ht="14.45" x14ac:dyDescent="0.3">
      <c r="A5" t="s">
        <v>342</v>
      </c>
      <c r="B5" s="35">
        <f ca="1">TODAY()</f>
        <v>44221</v>
      </c>
    </row>
    <row r="7" spans="1:4" ht="14.45" x14ac:dyDescent="0.3">
      <c r="A7" s="36" t="s">
        <v>15</v>
      </c>
      <c r="B7" s="36" t="s">
        <v>45</v>
      </c>
      <c r="C7" s="36" t="s">
        <v>17</v>
      </c>
      <c r="D7" s="36" t="s">
        <v>18</v>
      </c>
    </row>
    <row r="8" spans="1:4" ht="14.45" x14ac:dyDescent="0.3">
      <c r="A8" s="32">
        <f>BALANCE!A10</f>
        <v>1</v>
      </c>
      <c r="B8" t="str">
        <f>BALANCE!B10</f>
        <v>Activo</v>
      </c>
      <c r="C8" s="37">
        <f t="array" ref="C8">SUM(IF(CodigoD=CodigoBG,1,0)*DEBE)-SUM(IF(CodigoD=CodigoBG,1,0)*HABER)</f>
        <v>0</v>
      </c>
      <c r="D8" s="37"/>
    </row>
    <row r="9" spans="1:4" ht="14.45" x14ac:dyDescent="0.3">
      <c r="A9" t="str">
        <f>BALANCE!A11</f>
        <v>1.1.</v>
      </c>
      <c r="B9" t="str">
        <f>BALANCE!B11</f>
        <v>Activo Corriente</v>
      </c>
      <c r="C9" s="37">
        <f t="array" ref="C9">SUM(IF(CodigoD=CodigoBG,1,0)*DEBE)-SUM(IF(CodigoD=CodigoBG,1,0)*HABER)</f>
        <v>0</v>
      </c>
      <c r="D9" s="37"/>
    </row>
    <row r="10" spans="1:4" ht="14.45" x14ac:dyDescent="0.3">
      <c r="A10" t="str">
        <f>BALANCE!A12</f>
        <v>1.1.1.</v>
      </c>
      <c r="B10" t="str">
        <f>BALANCE!B12</f>
        <v>Efectivo y equivalentes al efectivo</v>
      </c>
      <c r="C10" s="37">
        <f t="array" ref="C10">SUM(IF(CodigoD=CodigoBG,1,0)*DEBE)-SUM(IF(CodigoD=CodigoBG,1,0)*HABER)</f>
        <v>0</v>
      </c>
      <c r="D10" s="37"/>
    </row>
    <row r="11" spans="1:4" ht="14.45" x14ac:dyDescent="0.3">
      <c r="A11" t="str">
        <f>BALANCE!A13</f>
        <v>1.1.1.1.</v>
      </c>
      <c r="B11" t="str">
        <f>BALANCE!B13</f>
        <v>Caja Chica</v>
      </c>
      <c r="C11" s="37">
        <f t="array" ref="C11">SUM(IF(CodigoD=CodigoBG,1,0)*DEBE)-SUM(IF(CodigoD=CodigoBG,1,0)*HABER)</f>
        <v>0</v>
      </c>
      <c r="D11" s="37"/>
    </row>
    <row r="12" spans="1:4" ht="14.45" x14ac:dyDescent="0.3">
      <c r="A12" t="str">
        <f>BALANCE!A14</f>
        <v>1.1.1.2.</v>
      </c>
      <c r="B12" t="str">
        <f>BALANCE!B14</f>
        <v>Caja General</v>
      </c>
      <c r="C12" s="37">
        <f t="array" ref="C12">SUM(IF(CodigoD=CodigoBG,1,0)*DEBE)-SUM(IF(CodigoD=CodigoBG,1,0)*HABER)</f>
        <v>6000</v>
      </c>
      <c r="D12" s="37"/>
    </row>
    <row r="13" spans="1:4" ht="14.45" x14ac:dyDescent="0.3">
      <c r="A13" t="str">
        <f>BALANCE!A15</f>
        <v>1.1.1.3.</v>
      </c>
      <c r="B13" t="str">
        <f>BALANCE!B15</f>
        <v>Bancos</v>
      </c>
      <c r="C13" s="37">
        <f t="array" ref="C13">SUM(IF(CodigoD=CodigoBG,1,0)*DEBE)-SUM(IF(CodigoD=CodigoBG,1,0)*HABER)</f>
        <v>-10182750</v>
      </c>
      <c r="D13" s="37"/>
    </row>
    <row r="14" spans="1:4" ht="14.45" x14ac:dyDescent="0.3">
      <c r="A14" t="str">
        <f>BALANCE!A16</f>
        <v>1.1.2.</v>
      </c>
      <c r="B14" t="str">
        <f>BALANCE!B16</f>
        <v>Cuentas y documentos por cobrar</v>
      </c>
      <c r="C14" s="37">
        <f t="array" ref="C14">SUM(IF(CodigoD=CodigoBG,1,0)*DEBE)-SUM(IF(CodigoD=CodigoBG,1,0)*HABER)</f>
        <v>0</v>
      </c>
      <c r="D14" s="37"/>
    </row>
    <row r="15" spans="1:4" ht="14.45" x14ac:dyDescent="0.3">
      <c r="A15" t="str">
        <f>BALANCE!A17</f>
        <v>1.1.2.1.</v>
      </c>
      <c r="B15" t="str">
        <f>BALANCE!B17</f>
        <v>Cuentas por cobrar</v>
      </c>
      <c r="C15" s="37">
        <f t="array" ref="C15">SUM(IF(CodigoD=CodigoBG,1,0)*DEBE)-SUM(IF(CodigoD=CodigoBG,1,0)*HABER)</f>
        <v>10000</v>
      </c>
      <c r="D15" s="37"/>
    </row>
    <row r="16" spans="1:4" x14ac:dyDescent="0.25">
      <c r="A16" t="str">
        <f>BALANCE!A18</f>
        <v>1.1.2.2.</v>
      </c>
      <c r="B16" t="str">
        <f>BALANCE!B18</f>
        <v>Estimacion de cuentas incobrables</v>
      </c>
      <c r="C16" s="37">
        <f t="array" ref="C16">SUM(IF(CodigoD=CodigoBG,1,0)*DEBE)-SUM(IF(CodigoD=CodigoBG,1,0)*HABER)</f>
        <v>0</v>
      </c>
      <c r="D16" s="37"/>
    </row>
    <row r="17" spans="1:4" x14ac:dyDescent="0.25">
      <c r="A17" t="str">
        <f>BALANCE!A19</f>
        <v>1.1.2.3.</v>
      </c>
      <c r="B17" t="str">
        <f>BALANCE!B19</f>
        <v>Deudores varios</v>
      </c>
      <c r="C17" s="37">
        <f t="array" ref="C17">SUM(IF(CodigoD=CodigoBG,1,0)*DEBE)-SUM(IF(CodigoD=CodigoBG,1,0)*HABER)</f>
        <v>0</v>
      </c>
      <c r="D17" s="37"/>
    </row>
    <row r="18" spans="1:4" x14ac:dyDescent="0.25">
      <c r="A18" t="str">
        <f>BALANCE!A20</f>
        <v>1.1.2.4.</v>
      </c>
      <c r="B18" t="str">
        <f>BALANCE!B20</f>
        <v>Funcionarios y empleados</v>
      </c>
      <c r="C18" s="37">
        <f t="array" ref="C18">SUM(IF(CodigoD=CodigoBG,1,0)*DEBE)-SUM(IF(CodigoD=CodigoBG,1,0)*HABER)</f>
        <v>0</v>
      </c>
      <c r="D18" s="37"/>
    </row>
    <row r="19" spans="1:4" x14ac:dyDescent="0.25">
      <c r="A19" t="str">
        <f>BALANCE!A21</f>
        <v>1.1.2.5.</v>
      </c>
      <c r="B19" t="str">
        <f>BALANCE!B21</f>
        <v>Documentos por cobrar</v>
      </c>
      <c r="C19" s="37">
        <f t="array" ref="C19">SUM(IF(CodigoD=CodigoBG,1,0)*DEBE)-SUM(IF(CodigoD=CodigoBG,1,0)*HABER)</f>
        <v>0</v>
      </c>
      <c r="D19" s="37"/>
    </row>
    <row r="20" spans="1:4" x14ac:dyDescent="0.25">
      <c r="A20" t="str">
        <f>BALANCE!A22</f>
        <v>1.1.2.6.</v>
      </c>
      <c r="B20" t="str">
        <f>BALANCE!B22</f>
        <v>Rentas por cobrar</v>
      </c>
      <c r="C20" s="37">
        <f t="array" ref="C20">SUM(IF(CodigoD=CodigoBG,1,0)*DEBE)-SUM(IF(CodigoD=CodigoBG,1,0)*HABER)</f>
        <v>0</v>
      </c>
      <c r="D20" s="37"/>
    </row>
    <row r="21" spans="1:4" x14ac:dyDescent="0.25">
      <c r="A21" t="str">
        <f>BALANCE!A23</f>
        <v>1.1.2.7.</v>
      </c>
      <c r="B21" t="str">
        <f>BALANCE!B23</f>
        <v>Intereses por cobrar</v>
      </c>
      <c r="C21" s="37">
        <f t="array" ref="C21">SUM(IF(CodigoD=CodigoBG,1,0)*DEBE)-SUM(IF(CodigoD=CodigoBG,1,0)*HABER)</f>
        <v>0</v>
      </c>
      <c r="D21" s="37"/>
    </row>
    <row r="22" spans="1:4" x14ac:dyDescent="0.25">
      <c r="A22" t="str">
        <f>BALANCE!A24</f>
        <v>1.1.2.8.</v>
      </c>
      <c r="B22" t="str">
        <f>BALANCE!B24</f>
        <v>Cuentas por cobrar partes relacionadas</v>
      </c>
      <c r="C22" s="37">
        <f t="array" ref="C22">SUM(IF(CodigoD=CodigoBG,1,0)*DEBE)-SUM(IF(CodigoD=CodigoBG,1,0)*HABER)</f>
        <v>0</v>
      </c>
      <c r="D22" s="37"/>
    </row>
    <row r="23" spans="1:4" x14ac:dyDescent="0.25">
      <c r="A23" t="str">
        <f>BALANCE!A25</f>
        <v>1.1.3.</v>
      </c>
      <c r="B23" t="str">
        <f>BALANCE!B25</f>
        <v>Inventarios</v>
      </c>
      <c r="C23" s="37">
        <f t="array" ref="C23">SUM(IF(CodigoD=CodigoBG,1,0)*DEBE)-SUM(IF(CodigoD=CodigoBG,1,0)*HABER)</f>
        <v>0</v>
      </c>
      <c r="D23" s="37"/>
    </row>
    <row r="24" spans="1:4" x14ac:dyDescent="0.25">
      <c r="A24" t="str">
        <f>BALANCE!A26</f>
        <v>1.1.3.1.</v>
      </c>
      <c r="B24" t="str">
        <f>BALANCE!B26</f>
        <v>Inventario de productos terminados</v>
      </c>
      <c r="C24" s="37">
        <f t="array" ref="C24">SUM(IF(CodigoD=CodigoBG,1,0)*DEBE)-SUM(IF(CodigoD=CodigoBG,1,0)*HABER)</f>
        <v>-10000</v>
      </c>
      <c r="D24" s="37"/>
    </row>
    <row r="25" spans="1:4" x14ac:dyDescent="0.25">
      <c r="A25" t="str">
        <f>BALANCE!A27</f>
        <v>1.1.3.2.</v>
      </c>
      <c r="B25" t="str">
        <f>BALANCE!B27</f>
        <v>Inventario de productos en proceso</v>
      </c>
      <c r="C25" s="37">
        <f t="array" ref="C25">SUM(IF(CodigoD=CodigoBG,1,0)*DEBE)-SUM(IF(CodigoD=CodigoBG,1,0)*HABER)</f>
        <v>0</v>
      </c>
      <c r="D25" s="37"/>
    </row>
    <row r="26" spans="1:4" x14ac:dyDescent="0.25">
      <c r="A26" t="str">
        <f>BALANCE!A28</f>
        <v>1.1.3.3.</v>
      </c>
      <c r="B26" t="str">
        <f>BALANCE!B28</f>
        <v>Inventario de materia prima</v>
      </c>
      <c r="C26" s="37">
        <f t="array" ref="C26">SUM(IF(CodigoD=CodigoBG,1,0)*DEBE)-SUM(IF(CodigoD=CodigoBG,1,0)*HABER)</f>
        <v>0</v>
      </c>
      <c r="D26" s="37"/>
    </row>
    <row r="27" spans="1:4" x14ac:dyDescent="0.25">
      <c r="A27" t="str">
        <f>BALANCE!A29</f>
        <v>1.1.4.</v>
      </c>
      <c r="B27" t="str">
        <f>BALANCE!B29</f>
        <v>Pagos Anticipados</v>
      </c>
      <c r="C27" s="37">
        <f t="array" ref="C27">SUM(IF(CodigoD=CodigoBG,1,0)*DEBE)-SUM(IF(CodigoD=CodigoBG,1,0)*HABER)</f>
        <v>0</v>
      </c>
      <c r="D27" s="37"/>
    </row>
    <row r="28" spans="1:4" x14ac:dyDescent="0.25">
      <c r="A28" t="str">
        <f>BALANCE!A30</f>
        <v>1.1.4.1.</v>
      </c>
      <c r="B28" t="str">
        <f>BALANCE!B30</f>
        <v>Papeleria y utiles</v>
      </c>
      <c r="C28" s="37">
        <f t="array" ref="C28">SUM(IF(CodigoD=CodigoBG,1,0)*DEBE)-SUM(IF(CodigoD=CodigoBG,1,0)*HABER)</f>
        <v>0</v>
      </c>
      <c r="D28" s="37"/>
    </row>
    <row r="29" spans="1:4" x14ac:dyDescent="0.25">
      <c r="A29" t="str">
        <f>BALANCE!A31</f>
        <v>1.1.4.2.</v>
      </c>
      <c r="B29" t="str">
        <f>BALANCE!B31</f>
        <v>Intereses pagados por anticipado</v>
      </c>
      <c r="C29" s="37">
        <f t="array" ref="C29">SUM(IF(CodigoD=CodigoBG,1,0)*DEBE)-SUM(IF(CodigoD=CodigoBG,1,0)*HABER)</f>
        <v>0</v>
      </c>
      <c r="D29" s="37"/>
    </row>
    <row r="30" spans="1:4" x14ac:dyDescent="0.25">
      <c r="A30" t="str">
        <f>BALANCE!A32</f>
        <v>1.1.4.3.</v>
      </c>
      <c r="B30" t="str">
        <f>BALANCE!B32</f>
        <v>Publicidad pagada por anticipado</v>
      </c>
      <c r="C30" s="37">
        <f t="array" ref="C30">SUM(IF(CodigoD=CodigoBG,1,0)*DEBE)-SUM(IF(CodigoD=CodigoBG,1,0)*HABER)</f>
        <v>0</v>
      </c>
      <c r="D30" s="37"/>
    </row>
    <row r="31" spans="1:4" x14ac:dyDescent="0.25">
      <c r="A31" t="str">
        <f>BALANCE!A33</f>
        <v>1.1.4.4.</v>
      </c>
      <c r="B31" t="str">
        <f>BALANCE!B33</f>
        <v>Material de aseo y cocina</v>
      </c>
      <c r="C31" s="37">
        <f t="array" ref="C31">SUM(IF(CodigoD=CodigoBG,1,0)*DEBE)-SUM(IF(CodigoD=CodigoBG,1,0)*HABER)</f>
        <v>0</v>
      </c>
      <c r="D31" s="37"/>
    </row>
    <row r="32" spans="1:4" x14ac:dyDescent="0.25">
      <c r="A32" t="str">
        <f>BALANCE!A34</f>
        <v>1.1.4.5.</v>
      </c>
      <c r="B32" t="str">
        <f>BALANCE!B34</f>
        <v>Suscripciones pagadas por anticipado</v>
      </c>
      <c r="C32" s="37">
        <f t="array" ref="C32">SUM(IF(CodigoD=CodigoBG,1,0)*DEBE)-SUM(IF(CodigoD=CodigoBG,1,0)*HABER)</f>
        <v>0</v>
      </c>
      <c r="D32" s="37"/>
    </row>
    <row r="33" spans="1:4" x14ac:dyDescent="0.25">
      <c r="A33" t="str">
        <f>BALANCE!A35</f>
        <v>1.1.4.6.</v>
      </c>
      <c r="B33" t="str">
        <f>BALANCE!B35</f>
        <v>Alquileres Pagados por Anticipado</v>
      </c>
      <c r="C33" s="37">
        <f t="array" ref="C33">SUM(IF(CodigoD=CodigoBG,1,0)*DEBE)-SUM(IF(CodigoD=CodigoBG,1,0)*HABER)</f>
        <v>0</v>
      </c>
      <c r="D33" s="37"/>
    </row>
    <row r="34" spans="1:4" x14ac:dyDescent="0.25">
      <c r="A34" t="str">
        <f>BALANCE!A36</f>
        <v>1.1.4.7.</v>
      </c>
      <c r="B34" t="str">
        <f>BALANCE!B36</f>
        <v>Seguros Pagados por Anticipado</v>
      </c>
      <c r="C34" s="37">
        <f t="array" ref="C34">SUM(IF(CodigoD=CodigoBG,1,0)*DEBE)-SUM(IF(CodigoD=CodigoBG,1,0)*HABER)</f>
        <v>0</v>
      </c>
      <c r="D34" s="37"/>
    </row>
    <row r="35" spans="1:4" x14ac:dyDescent="0.25">
      <c r="A35" t="str">
        <f>BALANCE!A37</f>
        <v>1.1.4.8.</v>
      </c>
      <c r="B35" t="str">
        <f>BALANCE!B37</f>
        <v>Anticipo a proveedores</v>
      </c>
      <c r="C35" s="37">
        <f t="array" ref="C35">SUM(IF(CodigoD=CodigoBG,1,0)*DEBE)-SUM(IF(CodigoD=CodigoBG,1,0)*HABER)</f>
        <v>0</v>
      </c>
      <c r="D35" s="37"/>
    </row>
    <row r="36" spans="1:4" x14ac:dyDescent="0.25">
      <c r="A36" t="str">
        <f>BALANCE!A38</f>
        <v>1.1.4.9.</v>
      </c>
      <c r="B36" t="str">
        <f>BALANCE!B38</f>
        <v>Impuestos pagados por anticipado</v>
      </c>
      <c r="C36" s="37">
        <f t="array" ref="C36">SUM(IF(CodigoD=CodigoBG,1,0)*DEBE)-SUM(IF(CodigoD=CodigoBG,1,0)*HABER)</f>
        <v>0</v>
      </c>
      <c r="D36" s="37"/>
    </row>
    <row r="37" spans="1:4" x14ac:dyDescent="0.25">
      <c r="A37" t="str">
        <f>BALANCE!A39</f>
        <v>1.1.5.</v>
      </c>
      <c r="B37" t="str">
        <f>BALANCE!B39</f>
        <v>Inversiones</v>
      </c>
      <c r="C37" s="37">
        <f t="array" ref="C37">SUM(IF(CodigoD=CodigoBG,1,0)*DEBE)-SUM(IF(CodigoD=CodigoBG,1,0)*HABER)</f>
        <v>0</v>
      </c>
      <c r="D37" s="37"/>
    </row>
    <row r="38" spans="1:4" x14ac:dyDescent="0.25">
      <c r="A38" t="str">
        <f>BALANCE!A40</f>
        <v>1.1.5.1.</v>
      </c>
      <c r="B38" t="str">
        <f>BALANCE!B40</f>
        <v>Inversiones temporales(menor a 1 año)</v>
      </c>
      <c r="C38" s="37">
        <f t="array" ref="C38">SUM(IF(CodigoD=CodigoBG,1,0)*DEBE)-SUM(IF(CodigoD=CodigoBG,1,0)*HABER)</f>
        <v>0</v>
      </c>
      <c r="D38" s="37"/>
    </row>
    <row r="39" spans="1:4" x14ac:dyDescent="0.25">
      <c r="A39" t="str">
        <f>BALANCE!A41</f>
        <v>1.1.5.2.</v>
      </c>
      <c r="B39" t="str">
        <f>BALANCE!B41</f>
        <v>Inversiones en acciones(menor a 1 año)</v>
      </c>
      <c r="C39" s="37">
        <f t="array" ref="C39">SUM(IF(CodigoD=CodigoBG,1,0)*DEBE)-SUM(IF(CodigoD=CodigoBG,1,0)*HABER)</f>
        <v>0</v>
      </c>
      <c r="D39" s="37"/>
    </row>
    <row r="40" spans="1:4" x14ac:dyDescent="0.25">
      <c r="A40" t="str">
        <f>BALANCE!A42</f>
        <v>1.1.5.3.</v>
      </c>
      <c r="B40" t="str">
        <f>BALANCE!B42</f>
        <v>Certificados de depositos a plazo(menor a 1 año)</v>
      </c>
      <c r="C40" s="37">
        <f t="array" ref="C40">SUM(IF(CodigoD=CodigoBG,1,0)*DEBE)-SUM(IF(CodigoD=CodigoBG,1,0)*HABER)</f>
        <v>0</v>
      </c>
      <c r="D40" s="37"/>
    </row>
    <row r="41" spans="1:4" x14ac:dyDescent="0.25">
      <c r="A41" t="str">
        <f>BALANCE!A43</f>
        <v>1.2.</v>
      </c>
      <c r="B41" t="str">
        <f>BALANCE!B43</f>
        <v>Activo No Corriente</v>
      </c>
      <c r="C41" s="37">
        <f t="array" ref="C41">SUM(IF(CodigoD=CodigoBG,1,0)*DEBE)-SUM(IF(CodigoD=CodigoBG,1,0)*HABER)</f>
        <v>0</v>
      </c>
      <c r="D41" s="37"/>
    </row>
    <row r="42" spans="1:4" x14ac:dyDescent="0.25">
      <c r="A42" t="str">
        <f>BALANCE!A44</f>
        <v>1.2.1.</v>
      </c>
      <c r="B42" t="str">
        <f>BALANCE!B44</f>
        <v>Propiedad Planta y Equipo</v>
      </c>
      <c r="C42" s="37">
        <f t="array" ref="C42">SUM(IF(CodigoD=CodigoBG,1,0)*DEBE)-SUM(IF(CodigoD=CodigoBG,1,0)*HABER)</f>
        <v>0</v>
      </c>
      <c r="D42" s="37"/>
    </row>
    <row r="43" spans="1:4" x14ac:dyDescent="0.25">
      <c r="A43" t="str">
        <f>BALANCE!A45</f>
        <v>1.2.1.1.</v>
      </c>
      <c r="B43" t="str">
        <f>BALANCE!B45</f>
        <v>Terrenos</v>
      </c>
      <c r="C43" s="37">
        <f t="array" ref="C43">SUM(IF(CodigoD=CodigoBG,1,0)*DEBE)-SUM(IF(CodigoD=CodigoBG,1,0)*HABER)</f>
        <v>0</v>
      </c>
      <c r="D43" s="37"/>
    </row>
    <row r="44" spans="1:4" x14ac:dyDescent="0.25">
      <c r="A44" t="str">
        <f>BALANCE!A46</f>
        <v>1.2.1.2.</v>
      </c>
      <c r="B44" t="str">
        <f>BALANCE!B46</f>
        <v>Edificios</v>
      </c>
      <c r="C44" s="37">
        <f t="array" ref="C44">SUM(IF(CodigoD=CodigoBG,1,0)*DEBE)-SUM(IF(CodigoD=CodigoBG,1,0)*HABER)</f>
        <v>0</v>
      </c>
      <c r="D44" s="37"/>
    </row>
    <row r="45" spans="1:4" x14ac:dyDescent="0.25">
      <c r="A45" t="str">
        <f>BALANCE!A47</f>
        <v>1.2.1.3.</v>
      </c>
      <c r="B45" t="str">
        <f>BALANCE!B47</f>
        <v>Depreciación Acumulada de Edificios</v>
      </c>
      <c r="C45" s="37">
        <f t="array" ref="C45">SUM(IF(CodigoD=CodigoBG,1,0)*DEBE)-SUM(IF(CodigoD=CodigoBG,1,0)*HABER)</f>
        <v>0</v>
      </c>
      <c r="D45" s="37"/>
    </row>
    <row r="46" spans="1:4" x14ac:dyDescent="0.25">
      <c r="A46" t="str">
        <f>BALANCE!A48</f>
        <v>1.2.1.4.</v>
      </c>
      <c r="B46" t="str">
        <f>BALANCE!B48</f>
        <v>Mobiliario y Equipo</v>
      </c>
      <c r="C46" s="37">
        <f t="array" ref="C46">SUM(IF(CodigoD=CodigoBG,1,0)*DEBE)-SUM(IF(CodigoD=CodigoBG,1,0)*HABER)</f>
        <v>0</v>
      </c>
      <c r="D46" s="37"/>
    </row>
    <row r="47" spans="1:4" x14ac:dyDescent="0.25">
      <c r="A47" t="str">
        <f>BALANCE!A49</f>
        <v>1.2.1.5.</v>
      </c>
      <c r="B47" t="str">
        <f>BALANCE!B49</f>
        <v>Depreciación Acumulada de Mobiliario y Equipo</v>
      </c>
      <c r="C47" s="37">
        <f t="array" ref="C47">SUM(IF(CodigoD=CodigoBG,1,0)*DEBE)-SUM(IF(CodigoD=CodigoBG,1,0)*HABER)</f>
        <v>0</v>
      </c>
      <c r="D47" s="37"/>
    </row>
    <row r="48" spans="1:4" x14ac:dyDescent="0.25">
      <c r="A48" t="str">
        <f>BALANCE!A50</f>
        <v>1.2.1.6.</v>
      </c>
      <c r="B48" t="str">
        <f>BALANCE!B50</f>
        <v>Maquinaria y equipo</v>
      </c>
      <c r="C48" s="37">
        <f t="array" ref="C48">SUM(IF(CodigoD=CodigoBG,1,0)*DEBE)-SUM(IF(CodigoD=CodigoBG,1,0)*HABER)</f>
        <v>0</v>
      </c>
      <c r="D48" s="37"/>
    </row>
    <row r="49" spans="1:4" x14ac:dyDescent="0.25">
      <c r="A49" t="str">
        <f>BALANCE!A51</f>
        <v>1.2.1.7.</v>
      </c>
      <c r="B49" t="str">
        <f>BALANCE!B51</f>
        <v>Depreciación Acumulada de Maquinaria y Equipo</v>
      </c>
      <c r="C49" s="37">
        <f t="array" ref="C49">SUM(IF(CodigoD=CodigoBG,1,0)*DEBE)-SUM(IF(CodigoD=CodigoBG,1,0)*HABER)</f>
        <v>0</v>
      </c>
      <c r="D49" s="37"/>
    </row>
    <row r="50" spans="1:4" x14ac:dyDescent="0.25">
      <c r="A50" t="str">
        <f>BALANCE!A52</f>
        <v>1.2.1.8.</v>
      </c>
      <c r="B50" t="str">
        <f>BALANCE!B52</f>
        <v>Vehiculos</v>
      </c>
      <c r="C50" s="37">
        <f t="array" ref="C50">SUM(IF(CodigoD=CodigoBG,1,0)*DEBE)-SUM(IF(CodigoD=CodigoBG,1,0)*HABER)</f>
        <v>10325400</v>
      </c>
      <c r="D50" s="37"/>
    </row>
    <row r="51" spans="1:4" x14ac:dyDescent="0.25">
      <c r="A51" t="str">
        <f>BALANCE!A53</f>
        <v>1.2.1.9.</v>
      </c>
      <c r="B51" t="str">
        <f>BALANCE!B53</f>
        <v>Depreciación Acumulada de Vehiculos</v>
      </c>
      <c r="C51" s="37">
        <f t="array" ref="C51">SUM(IF(CodigoD=CodigoBG,1,0)*DEBE)-SUM(IF(CodigoD=CodigoBG,1,0)*HABER)</f>
        <v>0</v>
      </c>
      <c r="D51" s="37"/>
    </row>
    <row r="52" spans="1:4" x14ac:dyDescent="0.25">
      <c r="A52" t="str">
        <f>BALANCE!A54</f>
        <v>1.2.1.10.</v>
      </c>
      <c r="B52" t="str">
        <f>BALANCE!B54</f>
        <v>Equipo de reparto</v>
      </c>
      <c r="C52" s="37">
        <f t="array" ref="C52">SUM(IF(CodigoD=CodigoBG,1,0)*DEBE)-SUM(IF(CodigoD=CodigoBG,1,0)*HABER)</f>
        <v>0</v>
      </c>
      <c r="D52" s="37"/>
    </row>
    <row r="53" spans="1:4" x14ac:dyDescent="0.25">
      <c r="A53" t="str">
        <f>BALANCE!A55</f>
        <v>1.2.1.11.</v>
      </c>
      <c r="B53" t="str">
        <f>BALANCE!B55</f>
        <v>Depreciación Acumulada de Equipo de reparto</v>
      </c>
      <c r="C53" s="37">
        <f t="array" ref="C53">SUM(IF(CodigoD=CodigoBG,1,0)*DEBE)-SUM(IF(CodigoD=CodigoBG,1,0)*HABER)</f>
        <v>0</v>
      </c>
      <c r="D53" s="37"/>
    </row>
    <row r="54" spans="1:4" x14ac:dyDescent="0.25">
      <c r="A54" t="str">
        <f>BALANCE!A56</f>
        <v>1.2.1.12.</v>
      </c>
      <c r="B54" t="str">
        <f>BALANCE!B56</f>
        <v>Equipo de transporte</v>
      </c>
      <c r="C54" s="37">
        <f t="array" ref="C54">SUM(IF(CodigoD=CodigoBG,1,0)*DEBE)-SUM(IF(CodigoD=CodigoBG,1,0)*HABER)</f>
        <v>0</v>
      </c>
      <c r="D54" s="37"/>
    </row>
    <row r="55" spans="1:4" x14ac:dyDescent="0.25">
      <c r="A55" t="str">
        <f>BALANCE!A57</f>
        <v>1.2.1.13.</v>
      </c>
      <c r="B55" t="str">
        <f>BALANCE!B57</f>
        <v>Depreciación Acumulada de Equipo de transporte</v>
      </c>
      <c r="C55" s="37">
        <f t="array" ref="C55">SUM(IF(CodigoD=CodigoBG,1,0)*DEBE)-SUM(IF(CodigoD=CodigoBG,1,0)*HABER)</f>
        <v>0</v>
      </c>
      <c r="D55" s="37"/>
    </row>
    <row r="56" spans="1:4" x14ac:dyDescent="0.25">
      <c r="A56" t="str">
        <f>BALANCE!A58</f>
        <v>1.2.1.14.</v>
      </c>
      <c r="B56" t="str">
        <f>BALANCE!B58</f>
        <v>Herramientas</v>
      </c>
      <c r="C56" s="37">
        <f t="array" ref="C56">SUM(IF(CodigoD=CodigoBG,1,0)*DEBE)-SUM(IF(CodigoD=CodigoBG,1,0)*HABER)</f>
        <v>0</v>
      </c>
      <c r="D56" s="37"/>
    </row>
    <row r="57" spans="1:4" x14ac:dyDescent="0.25">
      <c r="A57" t="str">
        <f>BALANCE!A59</f>
        <v>1.2.1.15.</v>
      </c>
      <c r="B57" t="str">
        <f>BALANCE!B59</f>
        <v>Depreciación Acumulada de Herramientas</v>
      </c>
      <c r="C57" s="37">
        <f t="array" ref="C57">SUM(IF(CodigoD=CodigoBG,1,0)*DEBE)-SUM(IF(CodigoD=CodigoBG,1,0)*HABER)</f>
        <v>0</v>
      </c>
      <c r="D57" s="37"/>
    </row>
    <row r="58" spans="1:4" x14ac:dyDescent="0.25">
      <c r="A58" t="str">
        <f>BALANCE!A60</f>
        <v>1.2.1.16.</v>
      </c>
      <c r="B58" t="str">
        <f>BALANCE!B60</f>
        <v>Equipo de computo</v>
      </c>
      <c r="C58" s="37">
        <f t="array" ref="C58">SUM(IF(CodigoD=CodigoBG,1,0)*DEBE)-SUM(IF(CodigoD=CodigoBG,1,0)*HABER)</f>
        <v>0</v>
      </c>
      <c r="D58" s="37"/>
    </row>
    <row r="59" spans="1:4" x14ac:dyDescent="0.25">
      <c r="A59" t="str">
        <f>BALANCE!A61</f>
        <v>1.2.1.17.</v>
      </c>
      <c r="B59" t="str">
        <f>BALANCE!B61</f>
        <v>Depreciación Acumulada de Equipo de computo</v>
      </c>
      <c r="C59" s="37">
        <f t="array" ref="C59">SUM(IF(CodigoD=CodigoBG,1,0)*DEBE)-SUM(IF(CodigoD=CodigoBG,1,0)*HABER)</f>
        <v>0</v>
      </c>
      <c r="D59" s="37"/>
    </row>
    <row r="60" spans="1:4" x14ac:dyDescent="0.25">
      <c r="A60" t="str">
        <f>BALANCE!A62</f>
        <v>1.2.2.</v>
      </c>
      <c r="B60" t="str">
        <f>BALANCE!B62</f>
        <v>Propiedad de inversion</v>
      </c>
      <c r="C60" s="37">
        <f t="array" ref="C60">SUM(IF(CodigoD=CodigoBG,1,0)*DEBE)-SUM(IF(CodigoD=CodigoBG,1,0)*HABER)</f>
        <v>0</v>
      </c>
      <c r="D60" s="37"/>
    </row>
    <row r="61" spans="1:4" x14ac:dyDescent="0.25">
      <c r="A61" t="str">
        <f>BALANCE!A63</f>
        <v>1.2.2.1.</v>
      </c>
      <c r="B61" t="str">
        <f>BALANCE!B63</f>
        <v>Propiedad de inversion Edificios</v>
      </c>
      <c r="C61" s="37">
        <f t="array" ref="C61">SUM(IF(CodigoD=CodigoBG,1,0)*DEBE)-SUM(IF(CodigoD=CodigoBG,1,0)*HABER)</f>
        <v>0</v>
      </c>
      <c r="D61" s="37"/>
    </row>
    <row r="62" spans="1:4" x14ac:dyDescent="0.25">
      <c r="A62" t="str">
        <f>BALANCE!A64</f>
        <v>1.2.2.2.</v>
      </c>
      <c r="B62" t="str">
        <f>BALANCE!B64</f>
        <v>Propiedad de inversion Terrenos</v>
      </c>
      <c r="C62" s="37">
        <f t="array" ref="C62">SUM(IF(CodigoD=CodigoBG,1,0)*DEBE)-SUM(IF(CodigoD=CodigoBG,1,0)*HABER)</f>
        <v>0</v>
      </c>
      <c r="D62" s="37"/>
    </row>
    <row r="63" spans="1:4" x14ac:dyDescent="0.25">
      <c r="A63" t="str">
        <f>BALANCE!A65</f>
        <v>1.2.3.</v>
      </c>
      <c r="B63" t="str">
        <f>BALANCE!B65</f>
        <v>Activos Intangibles</v>
      </c>
      <c r="C63" s="37">
        <f t="array" ref="C63">SUM(IF(CodigoD=CodigoBG,1,0)*DEBE)-SUM(IF(CodigoD=CodigoBG,1,0)*HABER)</f>
        <v>0</v>
      </c>
      <c r="D63" s="37"/>
    </row>
    <row r="64" spans="1:4" x14ac:dyDescent="0.25">
      <c r="A64" t="str">
        <f>BALANCE!A66</f>
        <v>1.2.3.1.</v>
      </c>
      <c r="B64" t="str">
        <f>BALANCE!B66</f>
        <v>Crédito Mercantil</v>
      </c>
      <c r="C64" s="37">
        <f t="array" ref="C64">SUM(IF(CodigoD=CodigoBG,1,0)*DEBE)-SUM(IF(CodigoD=CodigoBG,1,0)*HABER)</f>
        <v>0</v>
      </c>
      <c r="D64" s="37"/>
    </row>
    <row r="65" spans="1:4" x14ac:dyDescent="0.25">
      <c r="A65" t="str">
        <f>BALANCE!A67</f>
        <v>1.2.3.2.</v>
      </c>
      <c r="B65" t="str">
        <f>BALANCE!B67</f>
        <v>Patentes</v>
      </c>
      <c r="C65" s="37">
        <f t="array" ref="C65">SUM(IF(CodigoD=CodigoBG,1,0)*DEBE)-SUM(IF(CodigoD=CodigoBG,1,0)*HABER)</f>
        <v>0</v>
      </c>
      <c r="D65" s="37"/>
    </row>
    <row r="66" spans="1:4" x14ac:dyDescent="0.25">
      <c r="A66" t="str">
        <f>BALANCE!A68</f>
        <v>1.2.3.3.</v>
      </c>
      <c r="B66" t="str">
        <f>BALANCE!B68</f>
        <v>Licencias y concesiones</v>
      </c>
      <c r="C66" s="37">
        <f t="array" ref="C66">SUM(IF(CodigoD=CodigoBG,1,0)*DEBE)-SUM(IF(CodigoD=CodigoBG,1,0)*HABER)</f>
        <v>0</v>
      </c>
      <c r="D66" s="37"/>
    </row>
    <row r="67" spans="1:4" x14ac:dyDescent="0.25">
      <c r="A67" t="str">
        <f>BALANCE!A69</f>
        <v>1.2.3.4.</v>
      </c>
      <c r="B67" t="str">
        <f>BALANCE!B69</f>
        <v>Marcas</v>
      </c>
      <c r="C67" s="37">
        <f t="array" ref="C67">SUM(IF(CodigoD=CodigoBG,1,0)*DEBE)-SUM(IF(CodigoD=CodigoBG,1,0)*HABER)</f>
        <v>0</v>
      </c>
      <c r="D67" s="37"/>
    </row>
    <row r="68" spans="1:4" x14ac:dyDescent="0.25">
      <c r="A68" t="str">
        <f>BALANCE!A70</f>
        <v>1.2.3.5.</v>
      </c>
      <c r="B68" t="str">
        <f>BALANCE!B70</f>
        <v>Derechos de autor</v>
      </c>
      <c r="C68" s="37">
        <f t="array" ref="C68">SUM(IF(CodigoD=CodigoBG,1,0)*DEBE)-SUM(IF(CodigoD=CodigoBG,1,0)*HABER)</f>
        <v>0</v>
      </c>
      <c r="D68" s="37"/>
    </row>
    <row r="69" spans="1:4" x14ac:dyDescent="0.25">
      <c r="A69" t="str">
        <f>BALANCE!A71</f>
        <v>1.2.3.6.</v>
      </c>
      <c r="B69" t="str">
        <f>BALANCE!B71</f>
        <v>Franquicias</v>
      </c>
      <c r="C69" s="37">
        <f t="array" ref="C69">SUM(IF(CodigoD=CodigoBG,1,0)*DEBE)-SUM(IF(CodigoD=CodigoBG,1,0)*HABER)</f>
        <v>0</v>
      </c>
      <c r="D69" s="37"/>
    </row>
    <row r="70" spans="1:4" x14ac:dyDescent="0.25">
      <c r="A70" t="str">
        <f>BALANCE!A72</f>
        <v>1.2.3.7.</v>
      </c>
      <c r="B70" t="str">
        <f>BALANCE!B72</f>
        <v>Software informatico</v>
      </c>
      <c r="C70" s="37">
        <f t="array" ref="C70">SUM(IF(CodigoD=CodigoBG,1,0)*DEBE)-SUM(IF(CodigoD=CodigoBG,1,0)*HABER)</f>
        <v>0</v>
      </c>
      <c r="D70" s="37"/>
    </row>
    <row r="71" spans="1:4" x14ac:dyDescent="0.25">
      <c r="A71" s="32">
        <f>BALANCE!A73</f>
        <v>2</v>
      </c>
      <c r="B71" t="str">
        <f>BALANCE!B73</f>
        <v>Pasivo</v>
      </c>
      <c r="C71" s="37"/>
      <c r="D71" s="37">
        <f t="array" ref="D71">SUM(IF(CodigoD=CodigoBG,1,0)*HABER)-SUM(IF(CodigoD=CodigoBG,1,0)*DEBE)</f>
        <v>0</v>
      </c>
    </row>
    <row r="72" spans="1:4" x14ac:dyDescent="0.25">
      <c r="A72" t="str">
        <f>BALANCE!A74</f>
        <v>2.1.</v>
      </c>
      <c r="B72" t="str">
        <f>BALANCE!B74</f>
        <v>Pasivo Corriente</v>
      </c>
      <c r="C72" s="37"/>
      <c r="D72" s="37">
        <f t="array" ref="D72">SUM(IF(CodigoD=CodigoBG,1,0)*HABER)-SUM(IF(CodigoD=CodigoBG,1,0)*DEBE)</f>
        <v>0</v>
      </c>
    </row>
    <row r="73" spans="1:4" x14ac:dyDescent="0.25">
      <c r="A73" t="str">
        <f>BALANCE!A75</f>
        <v>2.1.1.</v>
      </c>
      <c r="B73" t="str">
        <f>BALANCE!B75</f>
        <v>Acreedores y otras cuentas por pagar</v>
      </c>
      <c r="C73" s="37"/>
      <c r="D73" s="37">
        <f t="array" ref="D73">SUM(IF(CodigoD=CodigoBG,1,0)*HABER)-SUM(IF(CodigoD=CodigoBG,1,0)*DEBE)</f>
        <v>0</v>
      </c>
    </row>
    <row r="74" spans="1:4" x14ac:dyDescent="0.25">
      <c r="A74" t="str">
        <f>BALANCE!A76</f>
        <v>2.1.1.1.</v>
      </c>
      <c r="B74" t="str">
        <f>BALANCE!B76</f>
        <v>Proveedores</v>
      </c>
      <c r="C74" s="37"/>
      <c r="D74" s="37">
        <f t="array" ref="D74">SUM(IF(CodigoD=CodigoBG,1,0)*HABER)-SUM(IF(CodigoD=CodigoBG,1,0)*DEBE)</f>
        <v>0</v>
      </c>
    </row>
    <row r="75" spans="1:4" x14ac:dyDescent="0.25">
      <c r="A75" t="str">
        <f>BALANCE!A77</f>
        <v>2.1.1.2.</v>
      </c>
      <c r="B75" t="str">
        <f>BALANCE!B77</f>
        <v>Acreedores Varios</v>
      </c>
      <c r="C75" s="37"/>
      <c r="D75" s="37">
        <f t="array" ref="D75">SUM(IF(CodigoD=CodigoBG,1,0)*HABER)-SUM(IF(CodigoD=CodigoBG,1,0)*DEBE)</f>
        <v>0</v>
      </c>
    </row>
    <row r="76" spans="1:4" x14ac:dyDescent="0.25">
      <c r="A76" t="str">
        <f>BALANCE!A78</f>
        <v>2.1.1.3.</v>
      </c>
      <c r="B76" t="str">
        <f>BALANCE!B78</f>
        <v>Documentos por Pagar</v>
      </c>
      <c r="C76" s="37"/>
      <c r="D76" s="37">
        <f t="array" ref="D76">SUM(IF(CodigoD=CodigoBG,1,0)*HABER)-SUM(IF(CodigoD=CodigoBG,1,0)*DEBE)</f>
        <v>0</v>
      </c>
    </row>
    <row r="77" spans="1:4" x14ac:dyDescent="0.25">
      <c r="A77" t="str">
        <f>BALANCE!A79</f>
        <v>2.1.1.4.</v>
      </c>
      <c r="B77" t="str">
        <f>BALANCE!B79</f>
        <v>Impuestos Por Pagar</v>
      </c>
      <c r="C77" s="37"/>
      <c r="D77" s="37">
        <f t="array" ref="D77">SUM(IF(CodigoD=CodigoBG,1,0)*HABER)-SUM(IF(CodigoD=CodigoBG,1,0)*DEBE)</f>
        <v>0</v>
      </c>
    </row>
    <row r="78" spans="1:4" x14ac:dyDescent="0.25">
      <c r="A78" t="str">
        <f>BALANCE!A80</f>
        <v>2.1.1.5.</v>
      </c>
      <c r="B78" t="str">
        <f>BALANCE!B80</f>
        <v>Sueldos por pagar</v>
      </c>
      <c r="C78" s="37"/>
      <c r="D78" s="37">
        <f t="array" ref="D78">SUM(IF(CodigoD=CodigoBG,1,0)*HABER)-SUM(IF(CodigoD=CodigoBG,1,0)*DEBE)</f>
        <v>0</v>
      </c>
    </row>
    <row r="79" spans="1:4" x14ac:dyDescent="0.25">
      <c r="A79" t="str">
        <f>BALANCE!A81</f>
        <v>2.1.1.6.</v>
      </c>
      <c r="B79" t="str">
        <f>BALANCE!B81</f>
        <v>Servicios publicos por pagar</v>
      </c>
      <c r="C79" s="37"/>
      <c r="D79" s="37">
        <f t="array" ref="D79">SUM(IF(CodigoD=CodigoBG,1,0)*HABER)-SUM(IF(CodigoD=CodigoBG,1,0)*DEBE)</f>
        <v>0</v>
      </c>
    </row>
    <row r="80" spans="1:4" x14ac:dyDescent="0.25">
      <c r="A80" t="str">
        <f>BALANCE!A82</f>
        <v>2.1.1.7.</v>
      </c>
      <c r="B80" t="str">
        <f>BALANCE!B82</f>
        <v>Proviciones por pagar</v>
      </c>
      <c r="C80" s="37"/>
      <c r="D80" s="37">
        <f t="array" ref="D80">SUM(IF(CodigoD=CodigoBG,1,0)*HABER)-SUM(IF(CodigoD=CodigoBG,1,0)*DEBE)</f>
        <v>0</v>
      </c>
    </row>
    <row r="81" spans="1:4" x14ac:dyDescent="0.25">
      <c r="A81" t="str">
        <f>BALANCE!A83</f>
        <v>2.1.1.8.</v>
      </c>
      <c r="B81" t="str">
        <f>BALANCE!B83</f>
        <v>Prestamos por pagar</v>
      </c>
      <c r="C81" s="37"/>
      <c r="D81" s="37">
        <f t="array" ref="D81">SUM(IF(CodigoD=CodigoBG,1,0)*HABER)-SUM(IF(CodigoD=CodigoBG,1,0)*DEBE)</f>
        <v>200000</v>
      </c>
    </row>
    <row r="82" spans="1:4" x14ac:dyDescent="0.25">
      <c r="A82" t="str">
        <f>BALANCE!A84</f>
        <v>2.1.2.</v>
      </c>
      <c r="B82" t="str">
        <f>BALANCE!B84</f>
        <v>Valores cobrados por anticipado</v>
      </c>
      <c r="C82" s="37"/>
      <c r="D82" s="37">
        <f t="array" ref="D82">SUM(IF(CodigoD=CodigoBG,1,0)*HABER)-SUM(IF(CodigoD=CodigoBG,1,0)*DEBE)</f>
        <v>0</v>
      </c>
    </row>
    <row r="83" spans="1:4" x14ac:dyDescent="0.25">
      <c r="A83" t="str">
        <f>BALANCE!A85</f>
        <v>2.1.2.1.</v>
      </c>
      <c r="B83" t="str">
        <f>BALANCE!B85</f>
        <v>Rentas cobradas por anticipado</v>
      </c>
      <c r="C83" s="37"/>
      <c r="D83" s="37">
        <f t="array" ref="D83">SUM(IF(CodigoD=CodigoBG,1,0)*HABER)-SUM(IF(CodigoD=CodigoBG,1,0)*DEBE)</f>
        <v>0</v>
      </c>
    </row>
    <row r="84" spans="1:4" x14ac:dyDescent="0.25">
      <c r="A84" t="str">
        <f>BALANCE!A86</f>
        <v>2.1.2.2.</v>
      </c>
      <c r="B84" t="str">
        <f>BALANCE!B86</f>
        <v>Anticipo de clientes</v>
      </c>
      <c r="C84" s="37"/>
      <c r="D84" s="37">
        <f t="array" ref="D84">SUM(IF(CodigoD=CodigoBG,1,0)*HABER)-SUM(IF(CodigoD=CodigoBG,1,0)*DEBE)</f>
        <v>0</v>
      </c>
    </row>
    <row r="85" spans="1:4" x14ac:dyDescent="0.25">
      <c r="A85" t="str">
        <f>BALANCE!A87</f>
        <v>2.1.2.3.</v>
      </c>
      <c r="B85" t="str">
        <f>BALANCE!B87</f>
        <v>Servicios cobrados por anticipado</v>
      </c>
      <c r="C85" s="37"/>
      <c r="D85" s="37">
        <f t="array" ref="D85">SUM(IF(CodigoD=CodigoBG,1,0)*HABER)-SUM(IF(CodigoD=CodigoBG,1,0)*DEBE)</f>
        <v>0</v>
      </c>
    </row>
    <row r="86" spans="1:4" x14ac:dyDescent="0.25">
      <c r="A86" t="str">
        <f>BALANCE!A88</f>
        <v>2.2.</v>
      </c>
      <c r="B86" t="str">
        <f>BALANCE!B88</f>
        <v>Pasivo NO Corriente</v>
      </c>
      <c r="C86" s="37"/>
      <c r="D86" s="37">
        <f t="array" ref="D86">SUM(IF(CodigoD=CodigoBG,1,0)*HABER)-SUM(IF(CodigoD=CodigoBG,1,0)*DEBE)</f>
        <v>0</v>
      </c>
    </row>
    <row r="87" spans="1:4" x14ac:dyDescent="0.25">
      <c r="A87" t="str">
        <f>BALANCE!A89</f>
        <v>2.2.1.</v>
      </c>
      <c r="B87" t="str">
        <f>BALANCE!B89</f>
        <v>Préstamos  por Pagar</v>
      </c>
      <c r="C87" s="37"/>
      <c r="D87" s="37">
        <f t="array" ref="D87">SUM(IF(CodigoD=CodigoBG,1,0)*HABER)-SUM(IF(CodigoD=CodigoBG,1,0)*DEBE)</f>
        <v>0</v>
      </c>
    </row>
    <row r="88" spans="1:4" x14ac:dyDescent="0.25">
      <c r="A88" t="str">
        <f>BALANCE!A90</f>
        <v>2.2.2.</v>
      </c>
      <c r="B88" t="str">
        <f>BALANCE!B90</f>
        <v>Beneficios por pagar a empleados</v>
      </c>
      <c r="C88" s="37"/>
      <c r="D88" s="37">
        <f t="array" ref="D88">SUM(IF(CodigoD=CodigoBG,1,0)*HABER)-SUM(IF(CodigoD=CodigoBG,1,0)*DEBE)</f>
        <v>0</v>
      </c>
    </row>
    <row r="89" spans="1:4" x14ac:dyDescent="0.25">
      <c r="A89" t="str">
        <f>BALANCE!A91</f>
        <v>2.2.3.</v>
      </c>
      <c r="B89" t="str">
        <f>BALANCE!B91</f>
        <v>Reserva Laboral</v>
      </c>
      <c r="C89" s="37"/>
      <c r="D89" s="37">
        <f t="array" ref="D89">SUM(IF(CodigoD=CodigoBG,1,0)*HABER)-SUM(IF(CodigoD=CodigoBG,1,0)*DEBE)</f>
        <v>0</v>
      </c>
    </row>
    <row r="90" spans="1:4" x14ac:dyDescent="0.25">
      <c r="A90" s="32">
        <f>BALANCE!A92</f>
        <v>3</v>
      </c>
      <c r="B90" t="str">
        <f>BALANCE!B92</f>
        <v>Patrimonio</v>
      </c>
      <c r="C90" s="37"/>
      <c r="D90" s="37">
        <f t="array" ref="D90">SUM(IF(CodigoD=CodigoBG,1,0)*HABER)-SUM(IF(CodigoD=CodigoBG,1,0)*DEBE)</f>
        <v>0</v>
      </c>
    </row>
    <row r="91" spans="1:4" x14ac:dyDescent="0.25">
      <c r="A91" t="str">
        <f>BALANCE!A93</f>
        <v>3.1.</v>
      </c>
      <c r="B91" t="str">
        <f>BALANCE!B93</f>
        <v>Capital Social</v>
      </c>
      <c r="C91" s="37"/>
      <c r="D91" s="37">
        <f t="array" ref="D91">SUM(IF(CodigoD=CodigoBG,1,0)*HABER)-SUM(IF(CodigoD=CodigoBG,1,0)*DEBE)</f>
        <v>15000</v>
      </c>
    </row>
    <row r="92" spans="1:4" x14ac:dyDescent="0.25">
      <c r="A92" t="str">
        <f>BALANCE!A94</f>
        <v>3.2.</v>
      </c>
      <c r="B92" t="str">
        <f>BALANCE!B94</f>
        <v>Utilidad o pérdida acumulada</v>
      </c>
      <c r="C92" s="37"/>
      <c r="D92" s="37">
        <f t="array" ref="D92">SUM(IF(CodigoD=CodigoBG,1,0)*HABER)-SUM(IF(CodigoD=CodigoBG,1,0)*DEBE)</f>
        <v>0</v>
      </c>
    </row>
    <row r="93" spans="1:4" x14ac:dyDescent="0.25">
      <c r="A93" t="str">
        <f>BALANCE!A95</f>
        <v>3.3.</v>
      </c>
      <c r="B93" t="str">
        <f>BALANCE!B95</f>
        <v>Utilidad o pérdida del período</v>
      </c>
      <c r="C93" s="37"/>
      <c r="D93" s="37">
        <f>RESULTADO!D28</f>
        <v>66350</v>
      </c>
    </row>
    <row r="94" spans="1:4" x14ac:dyDescent="0.25">
      <c r="A94" t="str">
        <f>BALANCE!A96</f>
        <v>3.4.</v>
      </c>
      <c r="B94" t="str">
        <f>BALANCE!B96</f>
        <v>Reserva Legal</v>
      </c>
      <c r="C94" s="37"/>
      <c r="D94" s="37">
        <f t="array" ref="D94">SUM(IF(CodigoD=CodigoBG,1,0)*HABER)-SUM(IF(CodigoD=CodigoBG,1,0)*DEBE)</f>
        <v>0</v>
      </c>
    </row>
    <row r="95" spans="1:4" x14ac:dyDescent="0.25">
      <c r="C95" s="37"/>
      <c r="D95" s="37"/>
    </row>
    <row r="96" spans="1:4" x14ac:dyDescent="0.25">
      <c r="B96" s="1" t="s">
        <v>348</v>
      </c>
      <c r="C96" s="37">
        <f>SUM(C8:C94)</f>
        <v>148650</v>
      </c>
      <c r="D96" s="37">
        <f>SUM(D8:D94)</f>
        <v>281350</v>
      </c>
    </row>
    <row r="97" spans="2:4" ht="15.75" thickBot="1" x14ac:dyDescent="0.3">
      <c r="B97" s="1" t="s">
        <v>349</v>
      </c>
      <c r="C97" s="38"/>
      <c r="D97" s="38"/>
    </row>
    <row r="98" spans="2:4" ht="15.75" thickTop="1" x14ac:dyDescent="0.25"/>
  </sheetData>
  <mergeCells count="2">
    <mergeCell ref="A1:D1"/>
    <mergeCell ref="A3:D3"/>
  </mergeCells>
  <pageMargins left="0.7" right="0.7" top="0.75" bottom="0.75" header="0.3" footer="0.3"/>
  <pageSetup scale="73" orientation="portrait" horizontalDpi="300" verticalDpi="300" r:id="rId1"/>
  <rowBreaks count="1" manualBreakCount="1">
    <brk id="47" max="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31"/>
  <sheetViews>
    <sheetView zoomScaleNormal="100" workbookViewId="0">
      <selection activeCell="G12" sqref="G12"/>
    </sheetView>
  </sheetViews>
  <sheetFormatPr baseColWidth="10" defaultRowHeight="15" x14ac:dyDescent="0.25"/>
  <cols>
    <col min="2" max="2" width="44.28515625" customWidth="1"/>
  </cols>
  <sheetData>
    <row r="1" spans="1:4" ht="14.45" x14ac:dyDescent="0.3">
      <c r="A1" s="110" t="str">
        <f>MENU!C1</f>
        <v>NOMBRE DE LA EMPRESA: Sopas Catrachas</v>
      </c>
      <c r="B1" s="110"/>
      <c r="C1" s="110"/>
      <c r="D1" s="110"/>
    </row>
    <row r="3" spans="1:4" ht="14.45" x14ac:dyDescent="0.3">
      <c r="A3" s="110" t="s">
        <v>341</v>
      </c>
      <c r="B3" s="110"/>
      <c r="C3" s="110"/>
      <c r="D3" s="110"/>
    </row>
    <row r="5" spans="1:4" ht="14.45" x14ac:dyDescent="0.3">
      <c r="A5" t="s">
        <v>342</v>
      </c>
      <c r="B5" s="35">
        <f ca="1">TODAY()</f>
        <v>44221</v>
      </c>
    </row>
    <row r="7" spans="1:4" ht="14.45" x14ac:dyDescent="0.3">
      <c r="A7" s="36" t="s">
        <v>15</v>
      </c>
      <c r="B7" s="36" t="s">
        <v>45</v>
      </c>
      <c r="C7" s="36" t="s">
        <v>17</v>
      </c>
      <c r="D7" s="36" t="s">
        <v>18</v>
      </c>
    </row>
    <row r="8" spans="1:4" x14ac:dyDescent="0.25">
      <c r="A8" s="81">
        <f>BALANCE!A97</f>
        <v>4</v>
      </c>
      <c r="B8" s="1" t="str">
        <f>BALANCE!B97</f>
        <v>Ingresos</v>
      </c>
      <c r="C8" s="37"/>
      <c r="D8" s="37">
        <f t="array" ref="D8">SUM(IF(CodigoD=CodigoER,1,0)*HABER)-SUM(IF(CodigoD=CodigoER,1,0)*DEBE)</f>
        <v>0</v>
      </c>
    </row>
    <row r="9" spans="1:4" ht="14.45" x14ac:dyDescent="0.3">
      <c r="A9" t="str">
        <f>BALANCE!A98</f>
        <v>4.1.</v>
      </c>
      <c r="B9" t="str">
        <f>BALANCE!B98</f>
        <v>Ingresos Ordinarios</v>
      </c>
      <c r="C9" s="37"/>
      <c r="D9" s="37">
        <f t="array" ref="D9">SUM(IF(CodigoD=CodigoER,1,0)*HABER)-SUM(IF(CodigoD=CodigoER,1,0)*DEBE)</f>
        <v>0</v>
      </c>
    </row>
    <row r="10" spans="1:4" ht="14.45" x14ac:dyDescent="0.3">
      <c r="A10" t="str">
        <f>BALANCE!A99</f>
        <v>4.1.1.</v>
      </c>
      <c r="B10" t="str">
        <f>BALANCE!B99</f>
        <v>Ventas</v>
      </c>
      <c r="C10" s="37"/>
      <c r="D10" s="37">
        <f t="array" ref="D10">SUM(IF(CodigoD=CodigoER,1,0)*HABER)-SUM(IF(CodigoD=CodigoER,1,0)*DEBE)</f>
        <v>6000</v>
      </c>
    </row>
    <row r="11" spans="1:4" ht="14.45" x14ac:dyDescent="0.3">
      <c r="A11" t="str">
        <f>BALANCE!A100</f>
        <v>4.1.2.</v>
      </c>
      <c r="B11" t="str">
        <f>BALANCE!B100</f>
        <v>Devoluciones Sobre Ventas</v>
      </c>
      <c r="C11" s="37">
        <f t="array" ref="C11">SUM(IF(CodigoD=CodigoER,1,0)*DEBE)-SUM(IF(CodigoD=CodigoER,1,0)*HABER)</f>
        <v>0</v>
      </c>
      <c r="D11" s="37"/>
    </row>
    <row r="12" spans="1:4" ht="14.45" x14ac:dyDescent="0.3">
      <c r="A12" t="str">
        <f>BALANCE!A101</f>
        <v>4.1.3.</v>
      </c>
      <c r="B12" t="str">
        <f>BALANCE!B101</f>
        <v>Rebajas Sobre Ventas</v>
      </c>
      <c r="C12" s="37">
        <f t="array" ref="C12">SUM(IF(CodigoD=CodigoER,1,0)*DEBE)-SUM(IF(CodigoD=CodigoER,1,0)*HABER)</f>
        <v>0</v>
      </c>
      <c r="D12" s="37"/>
    </row>
    <row r="13" spans="1:4" ht="14.45" x14ac:dyDescent="0.3">
      <c r="A13" t="str">
        <f>BALANCE!A102</f>
        <v>4.2.</v>
      </c>
      <c r="B13" t="str">
        <f>BALANCE!B102</f>
        <v>Ingresos Extraordinarios</v>
      </c>
      <c r="C13" s="37"/>
      <c r="D13" s="37">
        <f t="array" ref="D13">SUM(IF(CodigoD=CodigoER,1,0)*HABER)-SUM(IF(CodigoD=CodigoER,1,0)*DEBE)</f>
        <v>0</v>
      </c>
    </row>
    <row r="14" spans="1:4" ht="14.45" x14ac:dyDescent="0.3">
      <c r="A14" t="str">
        <f>BALANCE!A103</f>
        <v>4.2.1.</v>
      </c>
      <c r="B14" t="str">
        <f>BALANCE!B103</f>
        <v>Otros Ingresos</v>
      </c>
      <c r="C14" s="37"/>
      <c r="D14" s="37">
        <f t="array" ref="D14">SUM(IF(CodigoD=CodigoER,1,0)*HABER)-SUM(IF(CodigoD=CodigoER,1,0)*DEBE)</f>
        <v>0</v>
      </c>
    </row>
    <row r="15" spans="1:4" x14ac:dyDescent="0.25">
      <c r="A15" s="81">
        <f>BALANCE!A104</f>
        <v>5</v>
      </c>
      <c r="B15" s="1" t="str">
        <f>BALANCE!B104</f>
        <v>Costo de Ventas</v>
      </c>
      <c r="C15" s="37">
        <f t="array" ref="C15">SUM(IF(CodigoD=CodigoER,1,0)*DEBE)-SUM(IF(CodigoD=CodigoER,1,0)*HABER)</f>
        <v>0</v>
      </c>
      <c r="D15" s="37"/>
    </row>
    <row r="16" spans="1:4" x14ac:dyDescent="0.25">
      <c r="A16" t="str">
        <f>BALANCE!A105</f>
        <v>5.1.</v>
      </c>
      <c r="B16" t="str">
        <f>BALANCE!B105</f>
        <v>Compras</v>
      </c>
      <c r="C16" s="37">
        <f t="array" ref="C16">SUM(IF(CodigoD=CodigoER,1,0)*DEBE)-SUM(IF(CodigoD=CodigoER,1,0)*HABER)</f>
        <v>72200</v>
      </c>
      <c r="D16" s="37"/>
    </row>
    <row r="17" spans="1:4" x14ac:dyDescent="0.25">
      <c r="A17" t="str">
        <f>BALANCE!A106</f>
        <v>5.2.</v>
      </c>
      <c r="B17" t="str">
        <f>BALANCE!B106</f>
        <v>Gastos Sobre Compras</v>
      </c>
      <c r="C17" s="37"/>
      <c r="D17" s="37">
        <f t="array" ref="D17">SUM(IF(CodigoD=CodigoER,1,0)*HABER)-SUM(IF(CodigoD=CodigoER,1,0)*DEBE)</f>
        <v>0</v>
      </c>
    </row>
    <row r="18" spans="1:4" x14ac:dyDescent="0.25">
      <c r="A18" t="str">
        <f>BALANCE!A107</f>
        <v>5.3.</v>
      </c>
      <c r="B18" t="str">
        <f>BALANCE!B107</f>
        <v>Devoluciones sobre compras</v>
      </c>
      <c r="C18" s="37"/>
      <c r="D18" s="37">
        <f t="array" ref="D18">SUM(IF(CodigoD=CodigoER,1,0)*HABER)-SUM(IF(CodigoD=CodigoER,1,0)*DEBE)</f>
        <v>0</v>
      </c>
    </row>
    <row r="19" spans="1:4" x14ac:dyDescent="0.25">
      <c r="A19" t="str">
        <f>BALANCE!A108</f>
        <v>5.4.</v>
      </c>
      <c r="B19" t="str">
        <f>BALANCE!B108</f>
        <v>Descuentos y rebajas sobre compras</v>
      </c>
      <c r="C19" s="37">
        <f t="array" ref="C19">SUM(IF(CodigoD=CodigoER,1,0)*DEBE)-SUM(IF(CodigoD=CodigoER,1,0)*HABER)</f>
        <v>0</v>
      </c>
      <c r="D19" s="37"/>
    </row>
    <row r="20" spans="1:4" x14ac:dyDescent="0.25">
      <c r="A20" s="81">
        <f>BALANCE!A109</f>
        <v>6</v>
      </c>
      <c r="B20" s="1" t="str">
        <f>BALANCE!B109</f>
        <v>Gastos Operativos</v>
      </c>
      <c r="C20" s="37">
        <f t="array" ref="C20">SUM(IF(CodigoD=CodigoER,1,0)*DEBE)-SUM(IF(CodigoD=CodigoER,1,0)*HABER)</f>
        <v>0</v>
      </c>
      <c r="D20" s="37"/>
    </row>
    <row r="21" spans="1:4" x14ac:dyDescent="0.25">
      <c r="A21" t="str">
        <f>BALANCE!A110</f>
        <v>6.1.</v>
      </c>
      <c r="B21" t="str">
        <f>BALANCE!B110</f>
        <v>Gastos Administración</v>
      </c>
      <c r="C21" s="37">
        <f t="array" ref="C21">SUM(IF(CodigoD=CodigoER,1,0)*DEBE)-SUM(IF(CodigoD=CodigoER,1,0)*HABER)</f>
        <v>0</v>
      </c>
      <c r="D21" s="37"/>
    </row>
    <row r="22" spans="1:4" x14ac:dyDescent="0.25">
      <c r="A22" t="str">
        <f>BALANCE!A111</f>
        <v>6.2.</v>
      </c>
      <c r="B22" t="str">
        <f>BALANCE!B111</f>
        <v>Gastos de Ventas</v>
      </c>
      <c r="C22" s="37">
        <f t="array" ref="C22">SUM(IF(CodigoD=CodigoER,1,0)*DEBE)-SUM(IF(CodigoD=CodigoER,1,0)*HABER)</f>
        <v>0</v>
      </c>
      <c r="D22" s="37"/>
    </row>
    <row r="23" spans="1:4" x14ac:dyDescent="0.25">
      <c r="A23" t="str">
        <f>BALANCE!A112</f>
        <v>6.3.</v>
      </c>
      <c r="B23" t="str">
        <f>BALANCE!B112</f>
        <v>Gastos Financieros</v>
      </c>
      <c r="C23" s="37">
        <f t="array" ref="C23">SUM(IF(CodigoD=CodigoER,1,0)*DEBE)-SUM(IF(CodigoD=CodigoER,1,0)*HABER)</f>
        <v>0</v>
      </c>
      <c r="D23" s="37"/>
    </row>
    <row r="24" spans="1:4" x14ac:dyDescent="0.25">
      <c r="A24" t="str">
        <f>BALANCE!A113</f>
        <v>6.4.</v>
      </c>
      <c r="B24" t="str">
        <f>BALANCE!B113</f>
        <v>Otros Gastos</v>
      </c>
      <c r="C24" s="37">
        <f t="array" ref="C24">SUM(IF(CodigoD=CodigoER,1,0)*DEBE)-SUM(IF(CodigoD=CodigoER,1,0)*HABER)</f>
        <v>150</v>
      </c>
      <c r="D24" s="37"/>
    </row>
    <row r="25" spans="1:4" x14ac:dyDescent="0.25">
      <c r="C25" s="37"/>
      <c r="D25" s="37"/>
    </row>
    <row r="26" spans="1:4" x14ac:dyDescent="0.25">
      <c r="B26" s="1" t="s">
        <v>343</v>
      </c>
      <c r="C26" s="37"/>
      <c r="D26" s="37">
        <f>SUM(D8:D24)</f>
        <v>6000</v>
      </c>
    </row>
    <row r="27" spans="1:4" x14ac:dyDescent="0.25">
      <c r="B27" s="1" t="s">
        <v>344</v>
      </c>
      <c r="C27" s="37">
        <f>SUM(C8:C24)</f>
        <v>72350</v>
      </c>
      <c r="D27" s="37"/>
    </row>
    <row r="28" spans="1:4" x14ac:dyDescent="0.25">
      <c r="B28" s="1" t="s">
        <v>345</v>
      </c>
      <c r="C28" s="37" t="str">
        <f>IF(D26&gt;C27,D26-C27,"")</f>
        <v/>
      </c>
      <c r="D28" s="37">
        <f>IF(C27&gt;D26,C27-D26,"")</f>
        <v>66350</v>
      </c>
    </row>
    <row r="29" spans="1:4" ht="15.75" thickBot="1" x14ac:dyDescent="0.3">
      <c r="B29" s="1" t="s">
        <v>346</v>
      </c>
      <c r="C29" s="38">
        <f>SUM(C27:C28)</f>
        <v>72350</v>
      </c>
      <c r="D29" s="38">
        <f>SUM(D26:D28)</f>
        <v>72350</v>
      </c>
    </row>
    <row r="30" spans="1:4" ht="15.75" thickTop="1" x14ac:dyDescent="0.25"/>
    <row r="31" spans="1:4" x14ac:dyDescent="0.25">
      <c r="B31" s="1" t="s">
        <v>350</v>
      </c>
      <c r="C31" t="str">
        <f>IF(D26&gt;C27,"UTILIDAD","")</f>
        <v/>
      </c>
      <c r="D31" t="str">
        <f>IF(C27&lt;D26,"PERDIDA","")</f>
        <v/>
      </c>
    </row>
  </sheetData>
  <mergeCells count="2">
    <mergeCell ref="A1:D1"/>
    <mergeCell ref="A3:D3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82"/>
  <sheetViews>
    <sheetView topLeftCell="A57" workbookViewId="0">
      <selection activeCell="B1" sqref="B1"/>
    </sheetView>
  </sheetViews>
  <sheetFormatPr baseColWidth="10" defaultRowHeight="15" x14ac:dyDescent="0.25"/>
  <sheetData>
    <row r="1" spans="1:1" ht="14.45" x14ac:dyDescent="0.3">
      <c r="A1" s="34" t="s">
        <v>274</v>
      </c>
    </row>
    <row r="2" spans="1:1" ht="14.45" x14ac:dyDescent="0.3">
      <c r="A2" s="34" t="s">
        <v>275</v>
      </c>
    </row>
    <row r="3" spans="1:1" ht="14.45" x14ac:dyDescent="0.3">
      <c r="A3" s="34" t="s">
        <v>276</v>
      </c>
    </row>
    <row r="4" spans="1:1" ht="14.45" x14ac:dyDescent="0.3">
      <c r="A4" s="34" t="s">
        <v>278</v>
      </c>
    </row>
    <row r="5" spans="1:1" ht="14.45" x14ac:dyDescent="0.3">
      <c r="A5" s="34" t="s">
        <v>279</v>
      </c>
    </row>
    <row r="6" spans="1:1" ht="14.45" x14ac:dyDescent="0.3">
      <c r="A6" s="34" t="s">
        <v>280</v>
      </c>
    </row>
    <row r="7" spans="1:1" ht="14.45" x14ac:dyDescent="0.3">
      <c r="A7" s="34" t="s">
        <v>281</v>
      </c>
    </row>
    <row r="8" spans="1:1" ht="14.45" x14ac:dyDescent="0.3">
      <c r="A8" s="34" t="s">
        <v>282</v>
      </c>
    </row>
    <row r="9" spans="1:1" ht="14.45" x14ac:dyDescent="0.3">
      <c r="A9" s="34" t="s">
        <v>283</v>
      </c>
    </row>
    <row r="10" spans="1:1" ht="14.45" x14ac:dyDescent="0.3">
      <c r="A10" s="34" t="s">
        <v>284</v>
      </c>
    </row>
    <row r="11" spans="1:1" ht="14.45" x14ac:dyDescent="0.3">
      <c r="A11" s="34" t="s">
        <v>285</v>
      </c>
    </row>
    <row r="12" spans="1:1" ht="14.45" x14ac:dyDescent="0.3">
      <c r="A12" s="34" t="s">
        <v>287</v>
      </c>
    </row>
    <row r="13" spans="1:1" ht="14.45" x14ac:dyDescent="0.3">
      <c r="A13" s="34" t="s">
        <v>288</v>
      </c>
    </row>
    <row r="14" spans="1:1" ht="14.45" x14ac:dyDescent="0.3">
      <c r="A14" s="34" t="s">
        <v>289</v>
      </c>
    </row>
    <row r="15" spans="1:1" ht="14.45" x14ac:dyDescent="0.3">
      <c r="A15" s="34" t="s">
        <v>291</v>
      </c>
    </row>
    <row r="16" spans="1:1" ht="14.45" x14ac:dyDescent="0.3">
      <c r="A16" s="34" t="s">
        <v>292</v>
      </c>
    </row>
    <row r="17" spans="1:1" ht="14.45" x14ac:dyDescent="0.3">
      <c r="A17" s="34" t="s">
        <v>293</v>
      </c>
    </row>
    <row r="18" spans="1:1" ht="14.45" x14ac:dyDescent="0.3">
      <c r="A18" s="34" t="s">
        <v>294</v>
      </c>
    </row>
    <row r="19" spans="1:1" ht="14.45" x14ac:dyDescent="0.3">
      <c r="A19" s="34" t="s">
        <v>295</v>
      </c>
    </row>
    <row r="20" spans="1:1" ht="14.45" x14ac:dyDescent="0.3">
      <c r="A20" s="34" t="s">
        <v>296</v>
      </c>
    </row>
    <row r="21" spans="1:1" ht="14.45" x14ac:dyDescent="0.3">
      <c r="A21" s="34" t="s">
        <v>297</v>
      </c>
    </row>
    <row r="22" spans="1:1" ht="14.45" x14ac:dyDescent="0.3">
      <c r="A22" s="34" t="s">
        <v>298</v>
      </c>
    </row>
    <row r="23" spans="1:1" ht="14.45" x14ac:dyDescent="0.3">
      <c r="A23" s="34" t="s">
        <v>299</v>
      </c>
    </row>
    <row r="24" spans="1:1" ht="14.45" x14ac:dyDescent="0.3">
      <c r="A24" s="34" t="s">
        <v>301</v>
      </c>
    </row>
    <row r="25" spans="1:1" ht="14.45" x14ac:dyDescent="0.3">
      <c r="A25" s="34" t="s">
        <v>302</v>
      </c>
    </row>
    <row r="26" spans="1:1" ht="14.45" x14ac:dyDescent="0.3">
      <c r="A26" s="34" t="s">
        <v>303</v>
      </c>
    </row>
    <row r="27" spans="1:1" ht="14.45" x14ac:dyDescent="0.3">
      <c r="A27" s="34" t="s">
        <v>306</v>
      </c>
    </row>
    <row r="28" spans="1:1" ht="14.45" x14ac:dyDescent="0.3">
      <c r="A28" s="34" t="s">
        <v>307</v>
      </c>
    </row>
    <row r="29" spans="1:1" ht="14.45" x14ac:dyDescent="0.3">
      <c r="A29" s="34" t="s">
        <v>308</v>
      </c>
    </row>
    <row r="30" spans="1:1" ht="14.45" x14ac:dyDescent="0.3">
      <c r="A30" s="34" t="s">
        <v>309</v>
      </c>
    </row>
    <row r="31" spans="1:1" ht="14.45" x14ac:dyDescent="0.3">
      <c r="A31" s="34" t="s">
        <v>310</v>
      </c>
    </row>
    <row r="32" spans="1:1" ht="14.45" x14ac:dyDescent="0.3">
      <c r="A32" s="34" t="s">
        <v>311</v>
      </c>
    </row>
    <row r="33" spans="1:1" ht="14.45" x14ac:dyDescent="0.3">
      <c r="A33" s="34" t="s">
        <v>340</v>
      </c>
    </row>
    <row r="34" spans="1:1" ht="14.45" x14ac:dyDescent="0.3">
      <c r="A34" s="34" t="s">
        <v>339</v>
      </c>
    </row>
    <row r="35" spans="1:1" ht="14.45" x14ac:dyDescent="0.3">
      <c r="A35" s="34" t="s">
        <v>338</v>
      </c>
    </row>
    <row r="36" spans="1:1" ht="14.45" x14ac:dyDescent="0.3">
      <c r="A36" s="34" t="s">
        <v>337</v>
      </c>
    </row>
    <row r="37" spans="1:1" ht="14.45" x14ac:dyDescent="0.3">
      <c r="A37" s="34" t="s">
        <v>336</v>
      </c>
    </row>
    <row r="38" spans="1:1" ht="14.45" x14ac:dyDescent="0.3">
      <c r="A38" s="34" t="s">
        <v>335</v>
      </c>
    </row>
    <row r="39" spans="1:1" ht="14.45" x14ac:dyDescent="0.3">
      <c r="A39" s="34" t="s">
        <v>334</v>
      </c>
    </row>
    <row r="40" spans="1:1" ht="14.45" x14ac:dyDescent="0.3">
      <c r="A40" s="34" t="s">
        <v>333</v>
      </c>
    </row>
    <row r="41" spans="1:1" ht="14.45" x14ac:dyDescent="0.3">
      <c r="A41" s="34" t="s">
        <v>332</v>
      </c>
    </row>
    <row r="42" spans="1:1" ht="14.45" x14ac:dyDescent="0.3">
      <c r="A42" s="34" t="s">
        <v>331</v>
      </c>
    </row>
    <row r="43" spans="1:1" ht="14.45" x14ac:dyDescent="0.3">
      <c r="A43" s="34" t="s">
        <v>330</v>
      </c>
    </row>
    <row r="44" spans="1:1" ht="14.45" x14ac:dyDescent="0.3">
      <c r="A44" s="34" t="s">
        <v>328</v>
      </c>
    </row>
    <row r="45" spans="1:1" ht="14.45" x14ac:dyDescent="0.3">
      <c r="A45" s="34" t="s">
        <v>327</v>
      </c>
    </row>
    <row r="46" spans="1:1" ht="14.45" x14ac:dyDescent="0.3">
      <c r="A46" s="34" t="s">
        <v>325</v>
      </c>
    </row>
    <row r="47" spans="1:1" ht="14.45" x14ac:dyDescent="0.3">
      <c r="A47" s="34" t="s">
        <v>324</v>
      </c>
    </row>
    <row r="48" spans="1:1" ht="14.45" x14ac:dyDescent="0.3">
      <c r="A48" s="34" t="s">
        <v>323</v>
      </c>
    </row>
    <row r="49" spans="1:1" ht="14.45" x14ac:dyDescent="0.3">
      <c r="A49" s="34" t="s">
        <v>322</v>
      </c>
    </row>
    <row r="50" spans="1:1" ht="14.45" x14ac:dyDescent="0.3">
      <c r="A50" s="34" t="s">
        <v>321</v>
      </c>
    </row>
    <row r="51" spans="1:1" ht="14.45" x14ac:dyDescent="0.3">
      <c r="A51" s="34" t="s">
        <v>320</v>
      </c>
    </row>
    <row r="52" spans="1:1" ht="14.45" x14ac:dyDescent="0.3">
      <c r="A52" s="34" t="s">
        <v>319</v>
      </c>
    </row>
    <row r="53" spans="1:1" ht="14.45" x14ac:dyDescent="0.3">
      <c r="A53" s="34" t="s">
        <v>316</v>
      </c>
    </row>
    <row r="54" spans="1:1" ht="14.45" x14ac:dyDescent="0.3">
      <c r="A54" s="34" t="s">
        <v>315</v>
      </c>
    </row>
    <row r="55" spans="1:1" ht="14.45" x14ac:dyDescent="0.3">
      <c r="A55" s="34" t="s">
        <v>314</v>
      </c>
    </row>
    <row r="56" spans="1:1" ht="14.45" x14ac:dyDescent="0.3">
      <c r="A56" s="34" t="s">
        <v>313</v>
      </c>
    </row>
    <row r="57" spans="1:1" ht="14.45" x14ac:dyDescent="0.3">
      <c r="A57" s="34" t="s">
        <v>312</v>
      </c>
    </row>
    <row r="58" spans="1:1" ht="14.45" x14ac:dyDescent="0.3">
      <c r="A58" s="34" t="s">
        <v>272</v>
      </c>
    </row>
    <row r="59" spans="1:1" ht="14.45" x14ac:dyDescent="0.3">
      <c r="A59" s="34" t="s">
        <v>271</v>
      </c>
    </row>
    <row r="60" spans="1:1" ht="14.45" x14ac:dyDescent="0.3">
      <c r="A60" s="34" t="s">
        <v>270</v>
      </c>
    </row>
    <row r="61" spans="1:1" ht="14.45" x14ac:dyDescent="0.3">
      <c r="A61" s="34" t="s">
        <v>268</v>
      </c>
    </row>
    <row r="62" spans="1:1" ht="14.45" x14ac:dyDescent="0.3">
      <c r="A62" s="34" t="s">
        <v>267</v>
      </c>
    </row>
    <row r="63" spans="1:1" ht="14.45" x14ac:dyDescent="0.3">
      <c r="A63" s="34" t="s">
        <v>266</v>
      </c>
    </row>
    <row r="64" spans="1:1" ht="14.45" x14ac:dyDescent="0.3">
      <c r="A64" s="34" t="s">
        <v>264</v>
      </c>
    </row>
    <row r="65" spans="1:1" ht="14.45" x14ac:dyDescent="0.3">
      <c r="A65" s="34" t="s">
        <v>263</v>
      </c>
    </row>
    <row r="66" spans="1:1" ht="14.45" x14ac:dyDescent="0.3">
      <c r="A66" s="34" t="s">
        <v>262</v>
      </c>
    </row>
    <row r="67" spans="1:1" ht="14.45" x14ac:dyDescent="0.3">
      <c r="A67" s="34" t="s">
        <v>261</v>
      </c>
    </row>
    <row r="68" spans="1:1" ht="14.45" x14ac:dyDescent="0.3">
      <c r="A68" s="34" t="s">
        <v>260</v>
      </c>
    </row>
    <row r="69" spans="1:1" ht="14.45" x14ac:dyDescent="0.3">
      <c r="A69" s="34" t="s">
        <v>259</v>
      </c>
    </row>
    <row r="70" spans="1:1" ht="14.45" x14ac:dyDescent="0.3">
      <c r="A70" s="34" t="s">
        <v>258</v>
      </c>
    </row>
    <row r="71" spans="1:1" x14ac:dyDescent="0.25">
      <c r="A71" s="34" t="s">
        <v>256</v>
      </c>
    </row>
    <row r="72" spans="1:1" x14ac:dyDescent="0.25">
      <c r="A72" s="34" t="s">
        <v>255</v>
      </c>
    </row>
    <row r="73" spans="1:1" x14ac:dyDescent="0.25">
      <c r="A73" s="34" t="s">
        <v>254</v>
      </c>
    </row>
    <row r="74" spans="1:1" x14ac:dyDescent="0.25">
      <c r="A74" s="34" t="s">
        <v>252</v>
      </c>
    </row>
    <row r="75" spans="1:1" x14ac:dyDescent="0.25">
      <c r="A75" s="34" t="s">
        <v>251</v>
      </c>
    </row>
    <row r="76" spans="1:1" x14ac:dyDescent="0.25">
      <c r="A76" s="34" t="s">
        <v>250</v>
      </c>
    </row>
    <row r="77" spans="1:1" x14ac:dyDescent="0.25">
      <c r="A77" s="34" t="s">
        <v>249</v>
      </c>
    </row>
    <row r="78" spans="1:1" x14ac:dyDescent="0.25">
      <c r="A78" s="34" t="s">
        <v>248</v>
      </c>
    </row>
    <row r="79" spans="1:1" x14ac:dyDescent="0.25">
      <c r="A79" s="34" t="s">
        <v>247</v>
      </c>
    </row>
    <row r="80" spans="1:1" x14ac:dyDescent="0.25">
      <c r="A80" s="34" t="s">
        <v>246</v>
      </c>
    </row>
    <row r="81" spans="1:1" x14ac:dyDescent="0.25">
      <c r="A81" s="34" t="s">
        <v>245</v>
      </c>
    </row>
    <row r="82" spans="1:1" x14ac:dyDescent="0.25">
      <c r="A82" s="34" t="s">
        <v>244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48</vt:i4>
      </vt:variant>
    </vt:vector>
  </HeadingPairs>
  <TitlesOfParts>
    <vt:vector size="61" baseType="lpstr">
      <vt:lpstr>MENU</vt:lpstr>
      <vt:lpstr>D</vt:lpstr>
      <vt:lpstr>I</vt:lpstr>
      <vt:lpstr>E</vt:lpstr>
      <vt:lpstr>ND</vt:lpstr>
      <vt:lpstr>NC</vt:lpstr>
      <vt:lpstr>DIARIO</vt:lpstr>
      <vt:lpstr>MAYOR</vt:lpstr>
      <vt:lpstr>BALANCE</vt:lpstr>
      <vt:lpstr>CATALOGO</vt:lpstr>
      <vt:lpstr>GENERAL</vt:lpstr>
      <vt:lpstr>RESULTADO</vt:lpstr>
      <vt:lpstr>Hoja14</vt:lpstr>
      <vt:lpstr>E!AREA</vt:lpstr>
      <vt:lpstr>I!AREA</vt:lpstr>
      <vt:lpstr>NC!AREA</vt:lpstr>
      <vt:lpstr>ND!AREA</vt:lpstr>
      <vt:lpstr>AREA</vt:lpstr>
      <vt:lpstr>BALANCE!Área_de_impresión</vt:lpstr>
      <vt:lpstr>D!Área_de_impresión</vt:lpstr>
      <vt:lpstr>DIARIO!Área_de_impresión</vt:lpstr>
      <vt:lpstr>E!Área_de_impresión</vt:lpstr>
      <vt:lpstr>GENERAL!Área_de_impresión</vt:lpstr>
      <vt:lpstr>I!Área_de_impresión</vt:lpstr>
      <vt:lpstr>MAYOR!Área_de_impresión</vt:lpstr>
      <vt:lpstr>NC!Área_de_impresión</vt:lpstr>
      <vt:lpstr>ND!Área_de_impresión</vt:lpstr>
      <vt:lpstr>RESULTADO!Área_de_impresión</vt:lpstr>
      <vt:lpstr>CodigoB</vt:lpstr>
      <vt:lpstr>CodigoBG</vt:lpstr>
      <vt:lpstr>CodigoD</vt:lpstr>
      <vt:lpstr>CodigoER</vt:lpstr>
      <vt:lpstr>E!DATOS</vt:lpstr>
      <vt:lpstr>I!DATOS</vt:lpstr>
      <vt:lpstr>NC!DATOS</vt:lpstr>
      <vt:lpstr>ND!DATOS</vt:lpstr>
      <vt:lpstr>DATOS</vt:lpstr>
      <vt:lpstr>DEBE</vt:lpstr>
      <vt:lpstr>DEG</vt:lpstr>
      <vt:lpstr>HABER</vt:lpstr>
      <vt:lpstr>E!LIMCOD</vt:lpstr>
      <vt:lpstr>I!LIMCOD</vt:lpstr>
      <vt:lpstr>NC!LIMCOD</vt:lpstr>
      <vt:lpstr>ND!LIMCOD</vt:lpstr>
      <vt:lpstr>LIMCOD</vt:lpstr>
      <vt:lpstr>E!LIMPIAR</vt:lpstr>
      <vt:lpstr>I!LIMPIAR</vt:lpstr>
      <vt:lpstr>NC!LIMPIAR</vt:lpstr>
      <vt:lpstr>ND!LIMPIAR</vt:lpstr>
      <vt:lpstr>LIMPIAR</vt:lpstr>
      <vt:lpstr>D!mdato</vt:lpstr>
      <vt:lpstr>PLAN</vt:lpstr>
      <vt:lpstr>E!SELEC</vt:lpstr>
      <vt:lpstr>I!SELEC</vt:lpstr>
      <vt:lpstr>NC!SELEC</vt:lpstr>
      <vt:lpstr>ND!SELEC</vt:lpstr>
      <vt:lpstr>SELEC</vt:lpstr>
      <vt:lpstr>BALANCE!Títulos_a_imprimir</vt:lpstr>
      <vt:lpstr>DIARIO!Títulos_a_imprimir</vt:lpstr>
      <vt:lpstr>GENERAL!Títulos_a_imprimir</vt:lpstr>
      <vt:lpstr>RESULTADO!Títulos_a_imprimir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Tiffany</dc:creator>
  <cp:lastModifiedBy>Tiffany Matamoros</cp:lastModifiedBy>
  <cp:lastPrinted>2020-12-16T21:06:33Z</cp:lastPrinted>
  <dcterms:created xsi:type="dcterms:W3CDTF">2020-12-13T03:48:31Z</dcterms:created>
  <dcterms:modified xsi:type="dcterms:W3CDTF">2021-01-25T18:58:19Z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5914ca0a-b49e-42eb-a7ba-098c782bf479</vt:lpwstr>
  </property>
</Properties>
</file>