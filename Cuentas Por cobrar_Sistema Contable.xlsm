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0115" windowHeight="8520" activeTab="1"/>
  </bookViews>
  <sheets>
    <sheet name="Inicio" sheetId="1" r:id="rId1"/>
    <sheet name="Registro Clientes" sheetId="2" r:id="rId2"/>
    <sheet name="Registro Empresa" sheetId="8" r:id="rId3"/>
    <sheet name="BD Clientes" sheetId="7" r:id="rId4"/>
    <sheet name="BD Empresas" sheetId="9" r:id="rId5"/>
    <sheet name="Calculadora" sheetId="6" r:id="rId6"/>
    <sheet name="Estado de Cuenta" sheetId="3" r:id="rId7"/>
    <sheet name="Resumen" sheetId="5" r:id="rId8"/>
  </sheets>
  <definedNames>
    <definedName name="modalidad">Calculadora!$E$15:$E$18</definedName>
    <definedName name="modalidades">#REF!</definedName>
  </definedNames>
  <calcPr calcId="145621"/>
</workbook>
</file>

<file path=xl/calcChain.xml><?xml version="1.0" encoding="utf-8"?>
<calcChain xmlns="http://schemas.openxmlformats.org/spreadsheetml/2006/main">
  <c r="E10" i="5" l="1"/>
  <c r="F10" i="5"/>
  <c r="N10" i="5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H7" i="6"/>
  <c r="H9" i="6" l="1"/>
  <c r="C11" i="6" l="1"/>
  <c r="J17" i="6"/>
  <c r="H21" i="6" s="1"/>
  <c r="C6" i="3" l="1"/>
  <c r="N12" i="3" s="1"/>
  <c r="N11" i="3" l="1"/>
  <c r="O12" i="3"/>
  <c r="P12" i="3" s="1"/>
  <c r="N14" i="3"/>
  <c r="N13" i="3"/>
  <c r="O14" i="3"/>
  <c r="P14" i="3" s="1"/>
  <c r="N16" i="3"/>
  <c r="N15" i="3"/>
  <c r="O16" i="3"/>
  <c r="P16" i="3" s="1"/>
  <c r="N18" i="3"/>
  <c r="O18" i="3" s="1"/>
  <c r="P18" i="3" s="1"/>
  <c r="N17" i="3"/>
  <c r="N20" i="3"/>
  <c r="O20" i="3" s="1"/>
  <c r="P20" i="3" s="1"/>
  <c r="N19" i="3"/>
  <c r="H23" i="6"/>
  <c r="K10" i="5" l="1"/>
  <c r="O11" i="3"/>
  <c r="P11" i="3" s="1"/>
  <c r="O13" i="3"/>
  <c r="P13" i="3" s="1"/>
  <c r="O15" i="3"/>
  <c r="P15" i="3" s="1"/>
  <c r="O17" i="3"/>
  <c r="P17" i="3" s="1"/>
  <c r="O19" i="3"/>
  <c r="P19" i="3" s="1"/>
  <c r="L10" i="5" l="1"/>
  <c r="M10" i="5"/>
</calcChain>
</file>

<file path=xl/sharedStrings.xml><?xml version="1.0" encoding="utf-8"?>
<sst xmlns="http://schemas.openxmlformats.org/spreadsheetml/2006/main" count="143" uniqueCount="93">
  <si>
    <t>ID Cliente</t>
  </si>
  <si>
    <t>Nombre</t>
  </si>
  <si>
    <t>Direccion</t>
  </si>
  <si>
    <t>Telefono</t>
  </si>
  <si>
    <t>No. Factura</t>
  </si>
  <si>
    <t>Dias de Mora</t>
  </si>
  <si>
    <t>Alerta</t>
  </si>
  <si>
    <t>Fecha Venta</t>
  </si>
  <si>
    <t>Monto Pagado</t>
  </si>
  <si>
    <t>Deuda</t>
  </si>
  <si>
    <t>Col. Miraflores</t>
  </si>
  <si>
    <t>Codigo Empresa</t>
  </si>
  <si>
    <t>Cliente</t>
  </si>
  <si>
    <t>Empresa</t>
  </si>
  <si>
    <t>Valor Factura</t>
  </si>
  <si>
    <t>Fecha</t>
  </si>
  <si>
    <t>Interes</t>
  </si>
  <si>
    <t>Nombre del Cliente</t>
  </si>
  <si>
    <t>Cuotas Restantes</t>
  </si>
  <si>
    <t>AERONAUTICA CIVIL</t>
  </si>
  <si>
    <t>JULIO ANTONIO AVILEZ</t>
  </si>
  <si>
    <t>Modalidad</t>
  </si>
  <si>
    <t>N° Cuotas</t>
  </si>
  <si>
    <t>Importe de la cuota</t>
  </si>
  <si>
    <t>Total a pagar</t>
  </si>
  <si>
    <t>Quincenal</t>
  </si>
  <si>
    <t>Semanal</t>
  </si>
  <si>
    <t>Diario</t>
  </si>
  <si>
    <t>Mensual</t>
  </si>
  <si>
    <t>Modalidad de Pago</t>
  </si>
  <si>
    <t>N° Factura</t>
  </si>
  <si>
    <t>Importe Cuota</t>
  </si>
  <si>
    <t>Fecha de Credito</t>
  </si>
  <si>
    <t>Tasa de Interes</t>
  </si>
  <si>
    <t>Cod. Cuenta por Cobrar</t>
  </si>
  <si>
    <t xml:space="preserve">Cod. Cuenta por Cobrar </t>
  </si>
  <si>
    <t>FECHA ACTUAL:</t>
  </si>
  <si>
    <t xml:space="preserve">Estado de Factura </t>
  </si>
  <si>
    <t>Fecha PAGO</t>
  </si>
  <si>
    <t>Fecha Vencimiento</t>
  </si>
  <si>
    <t>N° Cuota</t>
  </si>
  <si>
    <t>Ganancia</t>
  </si>
  <si>
    <t>Hecho por: Tiffany Monique Matamoros</t>
  </si>
  <si>
    <t>Cli_01</t>
  </si>
  <si>
    <t>Col. La Alameda</t>
  </si>
  <si>
    <t>Cod. Empresa</t>
  </si>
  <si>
    <t>CAROLINA YANEZ ORDOÑEZ</t>
  </si>
  <si>
    <t>Cli_02</t>
  </si>
  <si>
    <t>Col. La Sosa</t>
  </si>
  <si>
    <t>Cli_03</t>
  </si>
  <si>
    <t>AC TALENTOS</t>
  </si>
  <si>
    <t>2236-8974</t>
  </si>
  <si>
    <t>ALCALDIA DE SANTA LUCIA</t>
  </si>
  <si>
    <t>CASA DE ORO</t>
  </si>
  <si>
    <t>Cli_05</t>
  </si>
  <si>
    <t>2236-7840</t>
  </si>
  <si>
    <t>2270-0125</t>
  </si>
  <si>
    <t>BANCO DE LOS TRABAJADORES</t>
  </si>
  <si>
    <t>2284-1236</t>
  </si>
  <si>
    <t>BANCO DE OCCIDENTE</t>
  </si>
  <si>
    <t>2232-6657</t>
  </si>
  <si>
    <t>2278-3218</t>
  </si>
  <si>
    <t>9874-1236</t>
  </si>
  <si>
    <t>Col. El Pedregal</t>
  </si>
  <si>
    <t>8807-2304</t>
  </si>
  <si>
    <t xml:space="preserve">NOHEMI LETICIA PAREDES </t>
  </si>
  <si>
    <t>9987-5412</t>
  </si>
  <si>
    <t>Cli_04</t>
  </si>
  <si>
    <t>LUIS ALFREDO ZUNIGA</t>
  </si>
  <si>
    <t>Col. El Sitio</t>
  </si>
  <si>
    <t>8871-4569</t>
  </si>
  <si>
    <t>ROBERTO SALGADO GOMEZ</t>
  </si>
  <si>
    <t>9955-3107</t>
  </si>
  <si>
    <t>Cli_06</t>
  </si>
  <si>
    <t>KRISTEL MARIANA MARADIAGA</t>
  </si>
  <si>
    <t>Res. Las Uvas</t>
  </si>
  <si>
    <t>8736-4421</t>
  </si>
  <si>
    <t>Cli_07</t>
  </si>
  <si>
    <t>MARTA CHAVEZ</t>
  </si>
  <si>
    <t>Colonia Paris</t>
  </si>
  <si>
    <t>2207-7044</t>
  </si>
  <si>
    <t>Cuota -&gt; 1</t>
  </si>
  <si>
    <t>Cuota -&gt; 2</t>
  </si>
  <si>
    <t>Cuota -&gt; 3</t>
  </si>
  <si>
    <t>Cuota -&gt; 4</t>
  </si>
  <si>
    <t>Cuota -&gt; 5</t>
  </si>
  <si>
    <t>Cuota -&gt; 6</t>
  </si>
  <si>
    <t>Cuota -&gt; 7</t>
  </si>
  <si>
    <t>Cuota -&gt; 8</t>
  </si>
  <si>
    <t>Cuota -&gt; 9</t>
  </si>
  <si>
    <t>Cuota -&gt; 10</t>
  </si>
  <si>
    <t>345-567-08</t>
  </si>
  <si>
    <t>Teléfono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</si>
</sst>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 &quot;L.&quot;\ * #,##0.00_ ;_ &quot;L.&quot;\ * \-#,##0.00_ ;_ &quot;L.&quot;\ * &quot;-&quot;??_ ;_ @_ "/>
    <numFmt numFmtId="164" formatCode="_ [$L.-480A]\ * #,##0.00_ ;_ [$L.-480A]\ * \-#,##0.00_ ;_ [$L.-480A]\ * &quot;-&quot;??_ ;_ @_ "/>
    <numFmt numFmtId="165" formatCode="&quot;L.&quot;\ #,##0.00"/>
  </numFmts>
  <fonts count="19" x14ac:knownFonts="1">
    <font>
      <sz val="11"/>
      <color theme="1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sz val="11"/>
      <color rgb="FFCCFFFF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399975585192419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 style="thin">
        <color rgb="FF66FFFF"/>
      </left>
      <right style="thin">
        <color rgb="FF66FFFF"/>
      </right>
      <top style="thin">
        <color rgb="FF66FFFF"/>
      </top>
      <bottom style="thin">
        <color rgb="FF66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4" borderId="1" applyNumberFormat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wrapText="1"/>
    </xf>
    <xf numFmtId="0" fontId="0" fillId="0" borderId="0" xfId="0" applyFill="1"/>
    <xf numFmtId="0" fontId="0" fillId="2" borderId="0" xfId="0" applyFill="1" applyBorder="1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Fill="1" applyBorder="1"/>
    <xf numFmtId="0" fontId="1" fillId="0" borderId="0" xfId="0" applyNumberFormat="1" applyFont="1" applyFill="1"/>
    <xf numFmtId="0" fontId="1" fillId="2" borderId="0" xfId="0" applyFont="1" applyFill="1" applyBorder="1"/>
    <xf numFmtId="0" fontId="2" fillId="2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0" fillId="3" borderId="0" xfId="0" applyFill="1" applyBorder="1"/>
    <xf numFmtId="0" fontId="0" fillId="0" borderId="0" xfId="0" applyBorder="1"/>
    <xf numFmtId="0" fontId="0" fillId="0" borderId="0" xfId="0" applyFill="1" applyAlignment="1">
      <alignment horizontal="left"/>
    </xf>
    <xf numFmtId="0" fontId="0" fillId="6" borderId="0" xfId="0" applyFill="1"/>
    <xf numFmtId="0" fontId="0" fillId="6" borderId="0" xfId="0" applyFill="1" applyBorder="1" applyAlignment="1">
      <alignment horizontal="left" vertical="center" wrapText="1"/>
    </xf>
    <xf numFmtId="164" fontId="0" fillId="6" borderId="0" xfId="2" applyNumberFormat="1" applyFont="1" applyFill="1" applyBorder="1" applyAlignment="1">
      <alignment horizontal="center" vertical="center"/>
    </xf>
    <xf numFmtId="14" fontId="0" fillId="6" borderId="0" xfId="0" applyNumberFormat="1" applyFill="1" applyBorder="1" applyAlignment="1">
      <alignment horizontal="center" vertical="center" wrapText="1"/>
    </xf>
    <xf numFmtId="14" fontId="0" fillId="6" borderId="0" xfId="0" applyNumberFormat="1" applyFill="1" applyBorder="1" applyAlignment="1">
      <alignment horizontal="left" vertical="center"/>
    </xf>
    <xf numFmtId="0" fontId="0" fillId="6" borderId="0" xfId="0" applyFill="1" applyBorder="1"/>
    <xf numFmtId="0" fontId="0" fillId="0" borderId="0" xfId="0" applyFill="1" applyAlignment="1">
      <alignment vertical="center" wrapText="1"/>
    </xf>
    <xf numFmtId="14" fontId="4" fillId="8" borderId="0" xfId="0" applyNumberFormat="1" applyFont="1" applyFill="1" applyAlignment="1">
      <alignment horizontal="left"/>
    </xf>
    <xf numFmtId="164" fontId="0" fillId="0" borderId="0" xfId="2" applyNumberFormat="1" applyFont="1" applyBorder="1" applyAlignment="1">
      <alignment horizontal="right"/>
    </xf>
    <xf numFmtId="164" fontId="0" fillId="3" borderId="0" xfId="2" applyNumberFormat="1" applyFont="1" applyFill="1" applyBorder="1" applyAlignment="1">
      <alignment horizontal="right"/>
    </xf>
    <xf numFmtId="0" fontId="0" fillId="6" borderId="0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NumberFormat="1" applyFill="1" applyBorder="1" applyAlignment="1">
      <alignment horizontal="center" vertical="center" wrapText="1"/>
    </xf>
    <xf numFmtId="10" fontId="0" fillId="3" borderId="0" xfId="0" applyNumberFormat="1" applyFill="1" applyAlignment="1">
      <alignment horizontal="left"/>
    </xf>
    <xf numFmtId="10" fontId="0" fillId="0" borderId="0" xfId="0" applyNumberFormat="1" applyFill="1" applyAlignment="1">
      <alignment horizontal="left"/>
    </xf>
    <xf numFmtId="10" fontId="0" fillId="0" borderId="0" xfId="0" applyNumberFormat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0" fillId="3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9" fillId="6" borderId="0" xfId="0" applyFont="1" applyFill="1" applyBorder="1" applyAlignment="1">
      <alignment horizontal="left" vertical="center" wrapText="1"/>
    </xf>
    <xf numFmtId="164" fontId="9" fillId="6" borderId="0" xfId="2" applyNumberFormat="1" applyFont="1" applyFill="1" applyBorder="1" applyAlignment="1">
      <alignment horizontal="left" vertical="center"/>
    </xf>
    <xf numFmtId="0" fontId="9" fillId="6" borderId="0" xfId="0" applyNumberFormat="1" applyFont="1" applyFill="1" applyBorder="1" applyAlignment="1">
      <alignment horizontal="left" vertical="center" wrapText="1"/>
    </xf>
    <xf numFmtId="14" fontId="9" fillId="6" borderId="0" xfId="0" applyNumberFormat="1" applyFont="1" applyFill="1" applyBorder="1" applyAlignment="1">
      <alignment horizontal="left" vertical="center"/>
    </xf>
    <xf numFmtId="14" fontId="9" fillId="6" borderId="0" xfId="0" applyNumberFormat="1" applyFont="1" applyFill="1" applyBorder="1" applyAlignment="1">
      <alignment horizontal="left" vertical="center" wrapText="1"/>
    </xf>
    <xf numFmtId="0" fontId="10" fillId="8" borderId="0" xfId="0" applyFont="1" applyFill="1" applyAlignment="1">
      <alignment horizontal="left"/>
    </xf>
    <xf numFmtId="0" fontId="0" fillId="3" borderId="0" xfId="0" applyFill="1" applyProtection="1">
      <protection locked="0"/>
    </xf>
    <xf numFmtId="0" fontId="0" fillId="3" borderId="0" xfId="0" applyFill="1" applyBorder="1" applyProtection="1">
      <protection locked="0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4" fillId="0" borderId="0" xfId="0" applyFont="1" applyBorder="1" applyProtection="1">
      <protection locked="0"/>
    </xf>
    <xf numFmtId="0" fontId="0" fillId="10" borderId="2" xfId="0" applyFill="1" applyBorder="1" applyAlignment="1" applyProtection="1">
      <alignment horizontal="right"/>
      <protection locked="0"/>
    </xf>
    <xf numFmtId="164" fontId="0" fillId="10" borderId="2" xfId="0" applyNumberFormat="1" applyFill="1" applyBorder="1" applyAlignment="1" applyProtection="1">
      <alignment horizontal="right"/>
      <protection locked="0"/>
    </xf>
    <xf numFmtId="164" fontId="0" fillId="0" borderId="0" xfId="3" applyNumberFormat="1" applyFont="1" applyBorder="1" applyAlignment="1" applyProtection="1">
      <alignment horizontal="right"/>
      <protection locked="0"/>
    </xf>
    <xf numFmtId="0" fontId="7" fillId="0" borderId="0" xfId="0" applyFont="1" applyBorder="1" applyProtection="1">
      <protection locked="0"/>
    </xf>
    <xf numFmtId="10" fontId="0" fillId="10" borderId="2" xfId="3" applyNumberFormat="1" applyFont="1" applyFill="1" applyBorder="1" applyAlignment="1" applyProtection="1">
      <alignment horizontal="right"/>
      <protection locked="0"/>
    </xf>
    <xf numFmtId="14" fontId="0" fillId="10" borderId="2" xfId="0" applyNumberForma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64" fontId="0" fillId="9" borderId="2" xfId="0" applyNumberFormat="1" applyFill="1" applyBorder="1" applyAlignment="1" applyProtection="1">
      <alignment horizontal="right"/>
      <protection hidden="1"/>
    </xf>
    <xf numFmtId="0" fontId="0" fillId="7" borderId="0" xfId="0" applyFill="1" applyBorder="1" applyAlignment="1" applyProtection="1">
      <alignment horizontal="center"/>
      <protection hidden="1"/>
    </xf>
    <xf numFmtId="0" fontId="0" fillId="2" borderId="0" xfId="0" applyFill="1" applyBorder="1" applyAlignment="1">
      <alignment vertical="center"/>
    </xf>
    <xf numFmtId="0" fontId="3" fillId="3" borderId="0" xfId="0" applyFont="1" applyFill="1" applyBorder="1" applyAlignment="1">
      <alignment horizontal="left" vertical="center" wrapText="1"/>
    </xf>
    <xf numFmtId="0" fontId="0" fillId="2" borderId="0" xfId="0" applyFill="1"/>
    <xf numFmtId="0" fontId="0" fillId="0" borderId="0" xfId="0" applyAlignment="1">
      <alignment horizontal="left" vertical="center"/>
    </xf>
    <xf numFmtId="0" fontId="12" fillId="2" borderId="0" xfId="0" applyFont="1" applyFill="1" applyBorder="1"/>
    <xf numFmtId="0" fontId="12" fillId="2" borderId="0" xfId="0" applyFont="1" applyFill="1" applyBorder="1" applyAlignment="1">
      <alignment vertical="center"/>
    </xf>
    <xf numFmtId="1" fontId="4" fillId="5" borderId="4" xfId="1" applyNumberFormat="1" applyFont="1" applyFill="1" applyBorder="1"/>
    <xf numFmtId="0" fontId="13" fillId="2" borderId="0" xfId="0" applyFont="1" applyFill="1"/>
    <xf numFmtId="1" fontId="4" fillId="5" borderId="4" xfId="1" applyNumberFormat="1" applyFont="1" applyFill="1" applyBorder="1" applyAlignment="1">
      <alignment vertical="top"/>
    </xf>
    <xf numFmtId="1" fontId="4" fillId="0" borderId="0" xfId="1" applyNumberFormat="1" applyFont="1" applyFill="1" applyBorder="1"/>
    <xf numFmtId="0" fontId="0" fillId="7" borderId="5" xfId="0" applyFill="1" applyBorder="1" applyAlignment="1">
      <alignment horizontal="left" vertical="center" wrapText="1"/>
    </xf>
    <xf numFmtId="0" fontId="0" fillId="7" borderId="5" xfId="0" applyFill="1" applyBorder="1" applyAlignment="1">
      <alignment vertical="center" wrapText="1"/>
    </xf>
    <xf numFmtId="164" fontId="0" fillId="7" borderId="5" xfId="0" applyNumberFormat="1" applyFill="1" applyBorder="1" applyAlignment="1">
      <alignment horizontal="left" vertical="center" wrapText="1"/>
    </xf>
    <xf numFmtId="10" fontId="0" fillId="7" borderId="5" xfId="0" applyNumberFormat="1" applyFill="1" applyBorder="1" applyAlignment="1">
      <alignment horizontal="left" vertical="center" wrapText="1"/>
    </xf>
    <xf numFmtId="0" fontId="9" fillId="7" borderId="5" xfId="0" applyFont="1" applyFill="1" applyBorder="1" applyAlignment="1">
      <alignment horizontal="left" vertical="center" wrapText="1"/>
    </xf>
    <xf numFmtId="164" fontId="9" fillId="7" borderId="5" xfId="2" applyNumberFormat="1" applyFont="1" applyFill="1" applyBorder="1" applyAlignment="1">
      <alignment horizontal="left" vertical="center"/>
    </xf>
    <xf numFmtId="0" fontId="9" fillId="7" borderId="5" xfId="0" applyFont="1" applyFill="1" applyBorder="1" applyAlignment="1">
      <alignment horizontal="left" vertical="center"/>
    </xf>
    <xf numFmtId="0" fontId="9" fillId="7" borderId="5" xfId="0" applyNumberFormat="1" applyFont="1" applyFill="1" applyBorder="1" applyAlignment="1">
      <alignment horizontal="left" vertical="center" wrapText="1"/>
    </xf>
    <xf numFmtId="0" fontId="11" fillId="0" borderId="0" xfId="0" applyFont="1" applyBorder="1" applyProtection="1">
      <protection locked="0"/>
    </xf>
    <xf numFmtId="0" fontId="14" fillId="0" borderId="0" xfId="0" applyFont="1" applyFill="1" applyBorder="1"/>
    <xf numFmtId="0" fontId="15" fillId="0" borderId="0" xfId="0" applyFont="1" applyBorder="1" applyProtection="1">
      <protection locked="0"/>
    </xf>
    <xf numFmtId="0" fontId="16" fillId="0" borderId="0" xfId="0" applyFont="1" applyFill="1" applyBorder="1"/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12" fillId="0" borderId="9" xfId="0" applyFont="1" applyFill="1" applyBorder="1"/>
    <xf numFmtId="164" fontId="0" fillId="0" borderId="0" xfId="0" applyNumberForma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0" fillId="0" borderId="12" xfId="0" applyBorder="1" applyProtection="1">
      <protection locked="0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vertical="center" wrapText="1"/>
    </xf>
    <xf numFmtId="164" fontId="0" fillId="0" borderId="0" xfId="0" applyNumberFormat="1" applyFill="1" applyBorder="1" applyAlignment="1">
      <alignment horizontal="left" vertical="center" wrapText="1"/>
    </xf>
    <xf numFmtId="10" fontId="0" fillId="0" borderId="0" xfId="0" applyNumberFormat="1" applyFill="1" applyBorder="1" applyAlignment="1">
      <alignment horizontal="left" vertical="center" wrapText="1"/>
    </xf>
    <xf numFmtId="14" fontId="0" fillId="0" borderId="0" xfId="0" applyNumberFormat="1" applyFill="1" applyBorder="1" applyAlignment="1">
      <alignment horizontal="left" vertical="center" wrapText="1"/>
    </xf>
    <xf numFmtId="0" fontId="0" fillId="3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4" fillId="6" borderId="0" xfId="0" applyFont="1" applyFill="1" applyBorder="1" applyAlignment="1">
      <alignment horizontal="left" vertical="center" wrapText="1"/>
    </xf>
    <xf numFmtId="0" fontId="0" fillId="0" borderId="0" xfId="0" applyFont="1"/>
    <xf numFmtId="0" fontId="17" fillId="3" borderId="0" xfId="0" applyFont="1" applyFill="1"/>
    <xf numFmtId="0" fontId="17" fillId="3" borderId="0" xfId="0" applyFont="1" applyFill="1" applyAlignment="1">
      <alignment horizontal="left"/>
    </xf>
    <xf numFmtId="0" fontId="17" fillId="0" borderId="0" xfId="0" applyFont="1" applyFill="1"/>
    <xf numFmtId="164" fontId="0" fillId="11" borderId="2" xfId="0" applyNumberFormat="1" applyFill="1" applyBorder="1" applyAlignment="1" applyProtection="1">
      <alignment horizontal="right"/>
      <protection hidden="1"/>
    </xf>
    <xf numFmtId="0" fontId="18" fillId="0" borderId="7" xfId="0" applyFont="1" applyBorder="1" applyAlignment="1" applyProtection="1">
      <alignment horizontal="right"/>
      <protection locked="0"/>
    </xf>
    <xf numFmtId="0" fontId="18" fillId="6" borderId="0" xfId="0" applyFont="1" applyFill="1" applyBorder="1" applyAlignment="1" applyProtection="1">
      <alignment horizontal="right"/>
      <protection locked="0"/>
    </xf>
    <xf numFmtId="0" fontId="17" fillId="0" borderId="0" xfId="0" applyFont="1" applyFill="1" applyAlignment="1">
      <alignment horizontal="left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 wrapText="1"/>
    </xf>
    <xf numFmtId="0" fontId="5" fillId="6" borderId="0" xfId="0" applyFont="1" applyFill="1" applyAlignment="1" applyProtection="1">
      <alignment vertical="center" wrapText="1"/>
      <protection locked="0"/>
    </xf>
    <xf numFmtId="2" fontId="0" fillId="6" borderId="0" xfId="0" applyNumberFormat="1" applyFill="1" applyAlignment="1">
      <alignment vertical="center" wrapText="1"/>
    </xf>
    <xf numFmtId="0" fontId="0" fillId="6" borderId="0" xfId="0" applyFill="1" applyAlignment="1">
      <alignment wrapText="1"/>
    </xf>
    <xf numFmtId="0" fontId="11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vertical="center" wrapText="1"/>
    </xf>
    <xf numFmtId="0" fontId="8" fillId="0" borderId="0" xfId="4" applyAlignment="1">
      <alignment horizontal="left"/>
    </xf>
    <xf numFmtId="165" fontId="0" fillId="9" borderId="2" xfId="0" applyNumberFormat="1" applyFill="1" applyBorder="1" applyAlignment="1" applyProtection="1">
      <alignment horizontal="right"/>
      <protection hidden="1"/>
    </xf>
    <xf numFmtId="0" fontId="9" fillId="6" borderId="13" xfId="0" applyFont="1" applyFill="1" applyBorder="1" applyAlignment="1">
      <alignment horizontal="left" vertical="center" wrapText="1"/>
    </xf>
    <xf numFmtId="164" fontId="9" fillId="6" borderId="13" xfId="2" applyNumberFormat="1" applyFont="1" applyFill="1" applyBorder="1" applyAlignment="1">
      <alignment horizontal="left" vertical="center"/>
    </xf>
    <xf numFmtId="0" fontId="9" fillId="6" borderId="13" xfId="0" applyNumberFormat="1" applyFont="1" applyFill="1" applyBorder="1" applyAlignment="1">
      <alignment horizontal="left" vertical="center" wrapText="1"/>
    </xf>
    <xf numFmtId="14" fontId="9" fillId="6" borderId="13" xfId="0" applyNumberFormat="1" applyFont="1" applyFill="1" applyBorder="1" applyAlignment="1">
      <alignment horizontal="left" vertical="center"/>
    </xf>
    <xf numFmtId="0" fontId="9" fillId="6" borderId="0" xfId="0" applyNumberFormat="1" applyFont="1" applyFill="1" applyBorder="1" applyAlignment="1">
      <alignment horizontal="center" vertical="center" wrapText="1"/>
    </xf>
    <xf numFmtId="0" fontId="9" fillId="6" borderId="13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4" fontId="9" fillId="6" borderId="0" xfId="0" applyNumberFormat="1" applyFont="1" applyFill="1" applyBorder="1" applyAlignment="1">
      <alignment horizontal="center" vertical="center" wrapText="1"/>
    </xf>
    <xf numFmtId="14" fontId="9" fillId="6" borderId="13" xfId="0" applyNumberFormat="1" applyFont="1" applyFill="1" applyBorder="1" applyAlignment="1">
      <alignment horizontal="center" vertical="center" wrapText="1"/>
    </xf>
    <xf numFmtId="164" fontId="0" fillId="3" borderId="0" xfId="2" applyNumberFormat="1" applyFont="1" applyFill="1" applyAlignment="1">
      <alignment horizontal="right"/>
    </xf>
    <xf numFmtId="164" fontId="0" fillId="0" borderId="0" xfId="2" applyNumberFormat="1" applyFont="1" applyAlignment="1">
      <alignment horizontal="right"/>
    </xf>
    <xf numFmtId="164" fontId="9" fillId="6" borderId="0" xfId="2" applyNumberFormat="1" applyFont="1" applyFill="1" applyBorder="1" applyAlignment="1">
      <alignment horizontal="left" vertical="center" wrapText="1"/>
    </xf>
    <xf numFmtId="164" fontId="9" fillId="6" borderId="13" xfId="2" applyNumberFormat="1" applyFont="1" applyFill="1" applyBorder="1" applyAlignment="1">
      <alignment horizontal="left" vertical="center" wrapText="1"/>
    </xf>
    <xf numFmtId="164" fontId="0" fillId="6" borderId="0" xfId="2" applyNumberFormat="1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164" fontId="9" fillId="7" borderId="5" xfId="2" applyNumberFormat="1" applyFont="1" applyFill="1" applyBorder="1" applyAlignment="1">
      <alignment horizontal="left" vertical="center" wrapText="1"/>
    </xf>
    <xf numFmtId="0" fontId="9" fillId="7" borderId="5" xfId="0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0" fontId="0" fillId="7" borderId="14" xfId="0" applyFill="1" applyBorder="1" applyAlignment="1">
      <alignment horizontal="left" vertical="center" wrapText="1"/>
    </xf>
    <xf numFmtId="0" fontId="1" fillId="2" borderId="0" xfId="0" applyFont="1" applyFill="1" applyAlignment="1">
      <alignment horizontal="center"/>
    </xf>
  </cellXfs>
  <cellStyles count="5">
    <cellStyle name="Celda de comprobación" xfId="1" builtinId="23"/>
    <cellStyle name="Hipervínculo" xfId="4" builtinId="8"/>
    <cellStyle name="Moneda" xfId="2" builtinId="4"/>
    <cellStyle name="Normal" xfId="0" builtinId="0"/>
    <cellStyle name="Porcentaje" xfId="3" builtinId="5"/>
  </cellStyles>
  <dxfs count="56">
    <dxf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numFmt numFmtId="164" formatCode="_ [$L.-480A]\ * #,##0.00_ ;_ [$L.-480A]\ * \-#,##0.00_ ;_ [$L.-480A]\ * &quot;-&quot;??_ ;_ @_ 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164" formatCode="_ [$L.-480A]\ * #,##0.00_ ;_ [$L.-480A]\ * \-#,##0.00_ ;_ [$L.-480A]\ * &quot;-&quot;??_ ;_ @_ 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164" formatCode="_ [$L.-480A]\ * #,##0.00_ ;_ [$L.-480A]\ * \-#,##0.00_ ;_ [$L.-480A]\ * &quot;-&quot;??_ ;_ @_ 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14" formatCode="0.00%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164" formatCode="_ [$L.-480A]\ * #,##0.00_ ;_ [$L.-480A]\ * \-#,##0.00_ ;_ [$L.-480A]\ * &quot;-&quot;??_ ;_ @_ 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66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FF0000"/>
        </patternFill>
      </fill>
    </dxf>
    <dxf>
      <fill>
        <patternFill>
          <bgColor rgb="FF24FC29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numFmt numFmtId="164" formatCode="_ [$L.-480A]\ * #,##0.00_ ;_ [$L.-480A]\ * \-#,##0.00_ ;_ [$L.-480A]\ * &quot;-&quot;??_ ;_ @_ 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numFmt numFmtId="164" formatCode="_ [$L.-480A]\ * #,##0.00_ ;_ [$L.-480A]\ * \-#,##0.00_ ;_ [$L.-480A]\ * &quot;-&quot;??_ ;_ @_ 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66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theme="0"/>
      </font>
      <fill>
        <patternFill>
          <bgColor rgb="FF993366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protection locked="0" hidden="0"/>
    </dxf>
    <dxf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general" vertical="bottom" textRotation="0" wrapText="1" indent="0" justifyLastLine="0" shrinkToFit="0" readingOrder="0"/>
    </dxf>
    <dxf>
      <font>
        <color theme="1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Estilo de tabla 1" pivot="0" count="1">
      <tableStyleElement type="wholeTable" dxfId="55"/>
    </tableStyle>
    <tableStyle name="Estilo de tabla 2" pivot="0" count="1">
      <tableStyleElement type="firstRowStripe" dxfId="54"/>
    </tableStyle>
  </tableStyles>
  <colors>
    <mruColors>
      <color rgb="FF00FFCC"/>
      <color rgb="FF66FFFF"/>
      <color rgb="FFCCFFFF"/>
      <color rgb="FFCC0066"/>
      <color rgb="FF24FC29"/>
      <color rgb="FFCC0000"/>
      <color rgb="FFEF0903"/>
      <color rgb="FF993366"/>
      <color rgb="FF9900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4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485776</xdr:colOff>
      <xdr:row>5</xdr:row>
      <xdr:rowOff>123824</xdr:rowOff>
    </xdr:from>
    <xdr:to>
      <xdr:col>15</xdr:col>
      <xdr:colOff>76200</xdr:colOff>
      <xdr:row>18</xdr:row>
      <xdr:rowOff>104775</xdr:rowOff>
    </xdr:to>
    <xdr:sp macro="" textlink="">
      <xdr:nvSpPr>
        <xdr:cNvPr id="3" name="2 Rectángulo"/>
        <xdr:cNvSpPr/>
      </xdr:nvSpPr>
      <xdr:spPr>
        <a:xfrm>
          <a:off x="6581776" y="1076324"/>
          <a:ext cx="4924424" cy="2457451"/>
        </a:xfrm>
        <a:prstGeom prst="rect">
          <a:avLst/>
        </a:prstGeom>
        <a:noFill/>
        <a:ln w="57150">
          <a:solidFill>
            <a:srgbClr val="66FFFF"/>
          </a:solidFill>
        </a:ln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5400">
              <a:solidFill>
                <a:schemeClr val="bg1"/>
              </a:solidFill>
              <a:latin typeface="Microsoft Uighur" panose="02000000000000000000" pitchFamily="2" charset="-78"/>
              <a:ea typeface="Tahoma" panose="020B0604030504040204" pitchFamily="34" charset="0"/>
              <a:cs typeface="Microsoft Uighur" panose="02000000000000000000" pitchFamily="2" charset="-78"/>
            </a:rPr>
            <a:t>CONTROL DE CUENTAS POR COBRAR A CLIENTES</a:t>
          </a:r>
        </a:p>
      </xdr:txBody>
    </xdr:sp>
    <xdr:clientData/>
  </xdr:twoCellAnchor>
  <xdr:twoCellAnchor>
    <xdr:from>
      <xdr:col>0</xdr:col>
      <xdr:colOff>571500</xdr:colOff>
      <xdr:row>2</xdr:row>
      <xdr:rowOff>123825</xdr:rowOff>
    </xdr:from>
    <xdr:to>
      <xdr:col>3</xdr:col>
      <xdr:colOff>571500</xdr:colOff>
      <xdr:row>7</xdr:row>
      <xdr:rowOff>66675</xdr:rowOff>
    </xdr:to>
    <xdr:grpSp>
      <xdr:nvGrpSpPr>
        <xdr:cNvPr id="26" name="25 Grupo"/>
        <xdr:cNvGrpSpPr/>
      </xdr:nvGrpSpPr>
      <xdr:grpSpPr>
        <a:xfrm>
          <a:off x="571500" y="504825"/>
          <a:ext cx="2286000" cy="895350"/>
          <a:chOff x="571500" y="504825"/>
          <a:chExt cx="2286000" cy="895350"/>
        </a:xfrm>
      </xdr:grpSpPr>
      <xdr:sp macro="[0]!registro_Clientes" textlink="">
        <xdr:nvSpPr>
          <xdr:cNvPr id="9" name="8 Rectángulo redondeado"/>
          <xdr:cNvSpPr/>
        </xdr:nvSpPr>
        <xdr:spPr>
          <a:xfrm>
            <a:off x="571500" y="504825"/>
            <a:ext cx="2286000" cy="895350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HN" sz="1400"/>
              <a:t>              </a:t>
            </a:r>
            <a:r>
              <a:rPr lang="es-HN" sz="1400" baseline="0"/>
              <a:t> </a:t>
            </a:r>
            <a:r>
              <a:rPr lang="es-HN" sz="1400"/>
              <a:t>Registrar</a:t>
            </a:r>
            <a:r>
              <a:rPr lang="es-HN" sz="1400" baseline="0"/>
              <a:t>        </a:t>
            </a:r>
            <a:r>
              <a:rPr lang="es-HN" sz="1400"/>
              <a:t>Nuevo Cliente</a:t>
            </a:r>
          </a:p>
        </xdr:txBody>
      </xdr:sp>
      <xdr:pic macro="[0]!registro_Clientes">
        <xdr:nvPicPr>
          <xdr:cNvPr id="25" name="24 Imagen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3425" y="542313"/>
            <a:ext cx="838201" cy="838201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85725</xdr:colOff>
      <xdr:row>2</xdr:row>
      <xdr:rowOff>152400</xdr:rowOff>
    </xdr:from>
    <xdr:to>
      <xdr:col>7</xdr:col>
      <xdr:colOff>85725</xdr:colOff>
      <xdr:row>7</xdr:row>
      <xdr:rowOff>95250</xdr:rowOff>
    </xdr:to>
    <xdr:grpSp>
      <xdr:nvGrpSpPr>
        <xdr:cNvPr id="2" name="1 Grupo"/>
        <xdr:cNvGrpSpPr/>
      </xdr:nvGrpSpPr>
      <xdr:grpSpPr>
        <a:xfrm>
          <a:off x="3133725" y="533400"/>
          <a:ext cx="2286000" cy="895350"/>
          <a:chOff x="3133725" y="533400"/>
          <a:chExt cx="2286000" cy="895350"/>
        </a:xfrm>
      </xdr:grpSpPr>
      <xdr:sp macro="[0]!registro_Empresa" textlink="">
        <xdr:nvSpPr>
          <xdr:cNvPr id="12" name="11 Rectángulo redondeado"/>
          <xdr:cNvSpPr/>
        </xdr:nvSpPr>
        <xdr:spPr>
          <a:xfrm>
            <a:off x="3133725" y="533400"/>
            <a:ext cx="2286000" cy="895350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HN" sz="1400"/>
              <a:t>              </a:t>
            </a:r>
            <a:r>
              <a:rPr lang="es-HN" sz="1400" baseline="0"/>
              <a:t> </a:t>
            </a:r>
            <a:r>
              <a:rPr lang="es-HN" sz="1400"/>
              <a:t>Registrar</a:t>
            </a:r>
            <a:r>
              <a:rPr lang="es-HN" sz="1400" baseline="0"/>
              <a:t>        </a:t>
            </a:r>
            <a:r>
              <a:rPr lang="es-HN" sz="1400"/>
              <a:t>Nueva Empresa</a:t>
            </a:r>
          </a:p>
        </xdr:txBody>
      </xdr:sp>
      <xdr:pic macro="[0]!registro_Empresa">
        <xdr:nvPicPr>
          <xdr:cNvPr id="23" name="22 Imagen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67075" y="571500"/>
            <a:ext cx="809014" cy="809014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</xdr:grpSp>
    <xdr:clientData/>
  </xdr:twoCellAnchor>
  <xdr:twoCellAnchor>
    <xdr:from>
      <xdr:col>0</xdr:col>
      <xdr:colOff>533400</xdr:colOff>
      <xdr:row>9</xdr:row>
      <xdr:rowOff>152400</xdr:rowOff>
    </xdr:from>
    <xdr:to>
      <xdr:col>3</xdr:col>
      <xdr:colOff>533400</xdr:colOff>
      <xdr:row>14</xdr:row>
      <xdr:rowOff>95250</xdr:rowOff>
    </xdr:to>
    <xdr:grpSp>
      <xdr:nvGrpSpPr>
        <xdr:cNvPr id="7" name="6 Grupo"/>
        <xdr:cNvGrpSpPr/>
      </xdr:nvGrpSpPr>
      <xdr:grpSpPr>
        <a:xfrm>
          <a:off x="533400" y="1866900"/>
          <a:ext cx="2286000" cy="895350"/>
          <a:chOff x="533400" y="1866900"/>
          <a:chExt cx="2286000" cy="895350"/>
        </a:xfrm>
      </xdr:grpSpPr>
      <xdr:sp macro="[0]!bd_CLientes" textlink="">
        <xdr:nvSpPr>
          <xdr:cNvPr id="17" name="16 Rectángulo redondeado"/>
          <xdr:cNvSpPr/>
        </xdr:nvSpPr>
        <xdr:spPr>
          <a:xfrm>
            <a:off x="533400" y="1866900"/>
            <a:ext cx="2286000" cy="895350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HN" sz="1400"/>
              <a:t>              </a:t>
            </a:r>
            <a:r>
              <a:rPr lang="es-HN" sz="1400" baseline="0"/>
              <a:t> </a:t>
            </a:r>
            <a:r>
              <a:rPr lang="es-HN" sz="1400"/>
              <a:t>Base de Datos</a:t>
            </a:r>
            <a:r>
              <a:rPr lang="es-HN" sz="1400" baseline="0"/>
              <a:t>       Clie</a:t>
            </a:r>
            <a:r>
              <a:rPr lang="es-HN" sz="1400"/>
              <a:t>ntes</a:t>
            </a:r>
          </a:p>
        </xdr:txBody>
      </xdr:sp>
      <xdr:pic macro="[0]!bd_CLientes">
        <xdr:nvPicPr>
          <xdr:cNvPr id="24" name="23 Imagen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5800" y="1924050"/>
            <a:ext cx="812026" cy="81202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35699</xdr:colOff>
      <xdr:row>9</xdr:row>
      <xdr:rowOff>111899</xdr:rowOff>
    </xdr:from>
    <xdr:to>
      <xdr:col>7</xdr:col>
      <xdr:colOff>35699</xdr:colOff>
      <xdr:row>14</xdr:row>
      <xdr:rowOff>54749</xdr:rowOff>
    </xdr:to>
    <xdr:grpSp>
      <xdr:nvGrpSpPr>
        <xdr:cNvPr id="15" name="14 Grupo"/>
        <xdr:cNvGrpSpPr/>
      </xdr:nvGrpSpPr>
      <xdr:grpSpPr>
        <a:xfrm>
          <a:off x="3083699" y="1826399"/>
          <a:ext cx="2286000" cy="895350"/>
          <a:chOff x="3083699" y="1826399"/>
          <a:chExt cx="2286000" cy="895350"/>
        </a:xfrm>
      </xdr:grpSpPr>
      <xdr:sp macro="[0]!bdEmpresas" textlink="">
        <xdr:nvSpPr>
          <xdr:cNvPr id="18" name="17 Rectángulo redondeado"/>
          <xdr:cNvSpPr/>
        </xdr:nvSpPr>
        <xdr:spPr>
          <a:xfrm>
            <a:off x="3083699" y="1826399"/>
            <a:ext cx="2286000" cy="895350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HN" sz="1400"/>
              <a:t>              </a:t>
            </a:r>
            <a:r>
              <a:rPr lang="es-HN" sz="1400" baseline="0"/>
              <a:t> </a:t>
            </a:r>
            <a:r>
              <a:rPr lang="es-HN" sz="1400"/>
              <a:t>Base de Datos Empresas</a:t>
            </a:r>
          </a:p>
        </xdr:txBody>
      </xdr:sp>
      <xdr:pic macro="[0]!bdEmpresas">
        <xdr:nvPicPr>
          <xdr:cNvPr id="32" name="31 Imagen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69424" y="1864499"/>
            <a:ext cx="828676" cy="82867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15</xdr:row>
      <xdr:rowOff>142875</xdr:rowOff>
    </xdr:from>
    <xdr:to>
      <xdr:col>7</xdr:col>
      <xdr:colOff>28575</xdr:colOff>
      <xdr:row>21</xdr:row>
      <xdr:rowOff>47625</xdr:rowOff>
    </xdr:to>
    <xdr:sp macro="[0]!estadoCuentas" textlink="">
      <xdr:nvSpPr>
        <xdr:cNvPr id="19" name="18 Rectángulo redondeado"/>
        <xdr:cNvSpPr/>
      </xdr:nvSpPr>
      <xdr:spPr>
        <a:xfrm>
          <a:off x="3048000" y="3000375"/>
          <a:ext cx="2314575" cy="1047750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r"/>
          <a:r>
            <a:rPr lang="es-HN" sz="1300"/>
            <a:t>              </a:t>
          </a:r>
          <a:r>
            <a:rPr lang="es-HN" sz="1300" baseline="0"/>
            <a:t> </a:t>
          </a:r>
          <a:r>
            <a:rPr lang="es-HN" sz="1300" b="1"/>
            <a:t>Estado</a:t>
          </a:r>
          <a:r>
            <a:rPr lang="es-HN" sz="1300" b="1" baseline="0"/>
            <a:t> de       Cuentas/ Abonar/Eliminar Cuenta</a:t>
          </a:r>
          <a:endParaRPr lang="es-HN" sz="1300" b="1"/>
        </a:p>
      </xdr:txBody>
    </xdr:sp>
    <xdr:clientData/>
  </xdr:twoCellAnchor>
  <xdr:twoCellAnchor>
    <xdr:from>
      <xdr:col>4</xdr:col>
      <xdr:colOff>76201</xdr:colOff>
      <xdr:row>16</xdr:row>
      <xdr:rowOff>85726</xdr:rowOff>
    </xdr:from>
    <xdr:to>
      <xdr:col>5</xdr:col>
      <xdr:colOff>126227</xdr:colOff>
      <xdr:row>20</xdr:row>
      <xdr:rowOff>135752</xdr:rowOff>
    </xdr:to>
    <xdr:pic macro="[0]!estadoCuentas">
      <xdr:nvPicPr>
        <xdr:cNvPr id="33" name="32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1" y="3133726"/>
          <a:ext cx="812026" cy="812026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16</xdr:row>
      <xdr:rowOff>66674</xdr:rowOff>
    </xdr:from>
    <xdr:to>
      <xdr:col>3</xdr:col>
      <xdr:colOff>523875</xdr:colOff>
      <xdr:row>20</xdr:row>
      <xdr:rowOff>190499</xdr:rowOff>
    </xdr:to>
    <xdr:grpSp>
      <xdr:nvGrpSpPr>
        <xdr:cNvPr id="11" name="10 Grupo"/>
        <xdr:cNvGrpSpPr/>
      </xdr:nvGrpSpPr>
      <xdr:grpSpPr>
        <a:xfrm>
          <a:off x="533400" y="3114674"/>
          <a:ext cx="2276475" cy="885825"/>
          <a:chOff x="533400" y="3114674"/>
          <a:chExt cx="2276475" cy="885825"/>
        </a:xfrm>
      </xdr:grpSpPr>
      <xdr:sp macro="[0]!nueva_Cuenta" textlink="">
        <xdr:nvSpPr>
          <xdr:cNvPr id="6" name="5 Rectángulo redondeado"/>
          <xdr:cNvSpPr/>
        </xdr:nvSpPr>
        <xdr:spPr>
          <a:xfrm>
            <a:off x="533400" y="3114674"/>
            <a:ext cx="2276475" cy="885825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HN" sz="1400"/>
              <a:t>                      Nueva Cuenta</a:t>
            </a:r>
          </a:p>
        </xdr:txBody>
      </xdr:sp>
      <xdr:pic macro="[0]!nueva_Cuenta">
        <xdr:nvPicPr>
          <xdr:cNvPr id="35" name="34 Imagen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0" y="3181349"/>
            <a:ext cx="762001" cy="762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457202</xdr:colOff>
      <xdr:row>22</xdr:row>
      <xdr:rowOff>66674</xdr:rowOff>
    </xdr:from>
    <xdr:to>
      <xdr:col>3</xdr:col>
      <xdr:colOff>542926</xdr:colOff>
      <xdr:row>26</xdr:row>
      <xdr:rowOff>190499</xdr:rowOff>
    </xdr:to>
    <xdr:grpSp>
      <xdr:nvGrpSpPr>
        <xdr:cNvPr id="14" name="13 Grupo"/>
        <xdr:cNvGrpSpPr/>
      </xdr:nvGrpSpPr>
      <xdr:grpSpPr>
        <a:xfrm>
          <a:off x="457202" y="4257674"/>
          <a:ext cx="2371724" cy="885825"/>
          <a:chOff x="1543051" y="4200524"/>
          <a:chExt cx="2514600" cy="885825"/>
        </a:xfrm>
      </xdr:grpSpPr>
      <xdr:sp macro="[0]!resumenV" textlink="">
        <xdr:nvSpPr>
          <xdr:cNvPr id="20" name="19 Rectángulo redondeado"/>
          <xdr:cNvSpPr/>
        </xdr:nvSpPr>
        <xdr:spPr>
          <a:xfrm>
            <a:off x="1543051" y="4200524"/>
            <a:ext cx="2514600" cy="885825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HN" sz="1400"/>
              <a:t>                      Ver Resumen</a:t>
            </a:r>
            <a:r>
              <a:rPr lang="es-HN" sz="1400" baseline="0"/>
              <a:t> de Cuentas por Cobrar</a:t>
            </a:r>
            <a:endParaRPr lang="es-HN" sz="1400"/>
          </a:p>
        </xdr:txBody>
      </xdr:sp>
      <xdr:pic macro="resumen1">
        <xdr:nvPicPr>
          <xdr:cNvPr id="13" name="12 Imagen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95449" y="4276725"/>
            <a:ext cx="752475" cy="752475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752475</xdr:colOff>
      <xdr:row>22</xdr:row>
      <xdr:rowOff>76200</xdr:rowOff>
    </xdr:from>
    <xdr:to>
      <xdr:col>6</xdr:col>
      <xdr:colOff>733425</xdr:colOff>
      <xdr:row>27</xdr:row>
      <xdr:rowOff>0</xdr:rowOff>
    </xdr:to>
    <xdr:grpSp>
      <xdr:nvGrpSpPr>
        <xdr:cNvPr id="4" name="3 Grupo"/>
        <xdr:cNvGrpSpPr/>
      </xdr:nvGrpSpPr>
      <xdr:grpSpPr>
        <a:xfrm>
          <a:off x="3038475" y="4267200"/>
          <a:ext cx="2266950" cy="876300"/>
          <a:chOff x="3038475" y="4267200"/>
          <a:chExt cx="2266950" cy="876300"/>
        </a:xfrm>
      </xdr:grpSpPr>
      <xdr:sp macro="[0]!llamarFuncionalidades" textlink="">
        <xdr:nvSpPr>
          <xdr:cNvPr id="5" name="4 Rectángulo redondeado"/>
          <xdr:cNvSpPr/>
        </xdr:nvSpPr>
        <xdr:spPr>
          <a:xfrm>
            <a:off x="3038475" y="4267200"/>
            <a:ext cx="2266950" cy="876300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r"/>
            <a:r>
              <a:rPr lang="es-HN" sz="1600"/>
              <a:t>Funciones del Sistema</a:t>
            </a:r>
          </a:p>
        </xdr:txBody>
      </xdr:sp>
      <xdr:pic macro="[0]!llamarFuncionalidades">
        <xdr:nvPicPr>
          <xdr:cNvPr id="8" name="7 Imagen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8025" y="4333875"/>
            <a:ext cx="789964" cy="78996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211072</xdr:colOff>
      <xdr:row>7</xdr:row>
      <xdr:rowOff>11140</xdr:rowOff>
    </xdr:from>
    <xdr:to>
      <xdr:col>10</xdr:col>
      <xdr:colOff>268327</xdr:colOff>
      <xdr:row>9</xdr:row>
      <xdr:rowOff>30190</xdr:rowOff>
    </xdr:to>
    <xdr:sp macro="" textlink="">
      <xdr:nvSpPr>
        <xdr:cNvPr id="2" name="CuadroTexto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5006799" y="1439890"/>
          <a:ext cx="4409958" cy="395620"/>
        </a:xfrm>
        <a:prstGeom prst="rect">
          <a:avLst/>
        </a:prstGeom>
        <a:noFill/>
        <a:ln w="38100" cmpd="sng">
          <a:solidFill>
            <a:srgbClr val="66FFFF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REGISTRA</a:t>
          </a:r>
          <a:r>
            <a:rPr lang="es-SV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NUEVO CLIENTE</a:t>
          </a:r>
          <a:endParaRPr lang="es-SV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xdr:twoCellAnchor editAs="oneCell">
    <xdr:from>
      <xdr:col>9</xdr:col>
      <xdr:colOff>2215117</xdr:colOff>
      <xdr:row>21</xdr:row>
      <xdr:rowOff>93276</xdr:rowOff>
    </xdr:from>
    <xdr:to>
      <xdr:col>9</xdr:col>
      <xdr:colOff>2875443</xdr:colOff>
      <xdr:row>24</xdr:row>
      <xdr:rowOff>179150</xdr:rowOff>
    </xdr:to>
    <xdr:pic macro="[0]!eliminar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5931" y="4578886"/>
          <a:ext cx="660326" cy="650729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12</xdr:col>
      <xdr:colOff>645865</xdr:colOff>
      <xdr:row>11</xdr:row>
      <xdr:rowOff>66453</xdr:rowOff>
    </xdr:to>
    <xdr:sp macro="" textlink="">
      <xdr:nvSpPr>
        <xdr:cNvPr id="2049" name="AutoShape 1" descr="limpiar icono gratis"/>
        <xdr:cNvSpPr>
          <a:spLocks noChangeAspect="1" noChangeArrowheads="1"/>
        </xdr:cNvSpPr>
      </xdr:nvSpPr>
      <xdr:spPr bwMode="auto">
        <a:xfrm>
          <a:off x="9148430" y="1052180"/>
          <a:ext cx="1221795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254740</xdr:colOff>
      <xdr:row>21</xdr:row>
      <xdr:rowOff>179149</xdr:rowOff>
    </xdr:from>
    <xdr:to>
      <xdr:col>9</xdr:col>
      <xdr:colOff>819594</xdr:colOff>
      <xdr:row>24</xdr:row>
      <xdr:rowOff>171187</xdr:rowOff>
    </xdr:to>
    <xdr:pic macro="[0]!Guardar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5554" y="4664759"/>
          <a:ext cx="564854" cy="556893"/>
        </a:xfrm>
        <a:prstGeom prst="rect">
          <a:avLst/>
        </a:prstGeom>
      </xdr:spPr>
    </xdr:pic>
    <xdr:clientData/>
  </xdr:twoCellAnchor>
  <xdr:twoCellAnchor editAs="oneCell">
    <xdr:from>
      <xdr:col>9</xdr:col>
      <xdr:colOff>1303593</xdr:colOff>
      <xdr:row>22</xdr:row>
      <xdr:rowOff>3</xdr:rowOff>
    </xdr:from>
    <xdr:to>
      <xdr:col>9</xdr:col>
      <xdr:colOff>1803990</xdr:colOff>
      <xdr:row>24</xdr:row>
      <xdr:rowOff>117181</xdr:rowOff>
    </xdr:to>
    <xdr:pic macro="[0]!limpiar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4407" y="4673898"/>
          <a:ext cx="500397" cy="493748"/>
        </a:xfrm>
        <a:prstGeom prst="rect">
          <a:avLst/>
        </a:prstGeom>
      </xdr:spPr>
    </xdr:pic>
    <xdr:clientData/>
  </xdr:twoCellAnchor>
  <xdr:twoCellAnchor>
    <xdr:from>
      <xdr:col>6</xdr:col>
      <xdr:colOff>387647</xdr:colOff>
      <xdr:row>0</xdr:row>
      <xdr:rowOff>129597</xdr:rowOff>
    </xdr:from>
    <xdr:to>
      <xdr:col>8</xdr:col>
      <xdr:colOff>132910</xdr:colOff>
      <xdr:row>5</xdr:row>
      <xdr:rowOff>99681</xdr:rowOff>
    </xdr:to>
    <xdr:grpSp>
      <xdr:nvGrpSpPr>
        <xdr:cNvPr id="8" name="7 Grupo"/>
        <xdr:cNvGrpSpPr/>
      </xdr:nvGrpSpPr>
      <xdr:grpSpPr>
        <a:xfrm>
          <a:off x="4419159" y="129597"/>
          <a:ext cx="819594" cy="1022264"/>
          <a:chOff x="4286251" y="85295"/>
          <a:chExt cx="697760" cy="889357"/>
        </a:xfrm>
      </xdr:grpSpPr>
      <xdr:pic macro="[0]!inicio">
        <xdr:nvPicPr>
          <xdr:cNvPr id="3" name="2 Imagen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63779" y="85295"/>
            <a:ext cx="558891" cy="558217"/>
          </a:xfrm>
          <a:prstGeom prst="rect">
            <a:avLst/>
          </a:prstGeom>
        </xdr:spPr>
      </xdr:pic>
      <xdr:sp macro="[0]!inicio" textlink="">
        <xdr:nvSpPr>
          <xdr:cNvPr id="6" name="5 Rectángulo redondeado"/>
          <xdr:cNvSpPr/>
        </xdr:nvSpPr>
        <xdr:spPr>
          <a:xfrm>
            <a:off x="4286251" y="708838"/>
            <a:ext cx="697760" cy="265814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INICIO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  <xdr:twoCellAnchor>
    <xdr:from>
      <xdr:col>9</xdr:col>
      <xdr:colOff>2979330</xdr:colOff>
      <xdr:row>0</xdr:row>
      <xdr:rowOff>116215</xdr:rowOff>
    </xdr:from>
    <xdr:to>
      <xdr:col>12</xdr:col>
      <xdr:colOff>221511</xdr:colOff>
      <xdr:row>4</xdr:row>
      <xdr:rowOff>188284</xdr:rowOff>
    </xdr:to>
    <xdr:grpSp>
      <xdr:nvGrpSpPr>
        <xdr:cNvPr id="14" name="13 Grupo"/>
        <xdr:cNvGrpSpPr/>
      </xdr:nvGrpSpPr>
      <xdr:grpSpPr>
        <a:xfrm>
          <a:off x="8960144" y="116215"/>
          <a:ext cx="985727" cy="935964"/>
          <a:chOff x="9558225" y="49762"/>
          <a:chExt cx="930350" cy="935964"/>
        </a:xfrm>
      </xdr:grpSpPr>
      <xdr:pic macro="[0]!ir_BD">
        <xdr:nvPicPr>
          <xdr:cNvPr id="9" name="8 Imagen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26373" y="49762"/>
            <a:ext cx="629348" cy="625848"/>
          </a:xfrm>
          <a:prstGeom prst="rect">
            <a:avLst/>
          </a:prstGeom>
        </xdr:spPr>
      </xdr:pic>
      <xdr:sp macro="[0]!bd_CLientes" textlink="">
        <xdr:nvSpPr>
          <xdr:cNvPr id="13" name="12 Rectángulo redondeado"/>
          <xdr:cNvSpPr/>
        </xdr:nvSpPr>
        <xdr:spPr>
          <a:xfrm>
            <a:off x="9558225" y="730988"/>
            <a:ext cx="930350" cy="254738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HN" sz="1400" b="1"/>
              <a:t>CLIENTES</a:t>
            </a:r>
          </a:p>
        </xdr:txBody>
      </xdr:sp>
    </xdr:grpSp>
    <xdr:clientData/>
  </xdr:twoCellAnchor>
  <xdr:twoCellAnchor>
    <xdr:from>
      <xdr:col>9</xdr:col>
      <xdr:colOff>177208</xdr:colOff>
      <xdr:row>25</xdr:row>
      <xdr:rowOff>33226</xdr:rowOff>
    </xdr:from>
    <xdr:to>
      <xdr:col>9</xdr:col>
      <xdr:colOff>919272</xdr:colOff>
      <xdr:row>26</xdr:row>
      <xdr:rowOff>33226</xdr:rowOff>
    </xdr:to>
    <xdr:sp macro="" textlink="">
      <xdr:nvSpPr>
        <xdr:cNvPr id="16" name="15 Rectángulo"/>
        <xdr:cNvSpPr/>
      </xdr:nvSpPr>
      <xdr:spPr>
        <a:xfrm>
          <a:off x="6158022" y="5271976"/>
          <a:ext cx="742064" cy="1882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000">
              <a:solidFill>
                <a:srgbClr val="66FFFF"/>
              </a:solidFill>
            </a:rPr>
            <a:t>GUARDAR</a:t>
          </a:r>
        </a:p>
      </xdr:txBody>
    </xdr:sp>
    <xdr:clientData/>
  </xdr:twoCellAnchor>
  <xdr:twoCellAnchor>
    <xdr:from>
      <xdr:col>9</xdr:col>
      <xdr:colOff>1182428</xdr:colOff>
      <xdr:row>25</xdr:row>
      <xdr:rowOff>41644</xdr:rowOff>
    </xdr:from>
    <xdr:to>
      <xdr:col>9</xdr:col>
      <xdr:colOff>1924492</xdr:colOff>
      <xdr:row>26</xdr:row>
      <xdr:rowOff>41644</xdr:rowOff>
    </xdr:to>
    <xdr:sp macro="" textlink="">
      <xdr:nvSpPr>
        <xdr:cNvPr id="18" name="17 Rectángulo"/>
        <xdr:cNvSpPr/>
      </xdr:nvSpPr>
      <xdr:spPr>
        <a:xfrm>
          <a:off x="7163242" y="5280394"/>
          <a:ext cx="742064" cy="1882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000">
              <a:solidFill>
                <a:srgbClr val="66FFFF"/>
              </a:solidFill>
            </a:rPr>
            <a:t>LIMPIAR</a:t>
          </a:r>
        </a:p>
      </xdr:txBody>
    </xdr:sp>
    <xdr:clientData/>
  </xdr:twoCellAnchor>
  <xdr:twoCellAnchor>
    <xdr:from>
      <xdr:col>9</xdr:col>
      <xdr:colOff>2159737</xdr:colOff>
      <xdr:row>24</xdr:row>
      <xdr:rowOff>116511</xdr:rowOff>
    </xdr:from>
    <xdr:to>
      <xdr:col>9</xdr:col>
      <xdr:colOff>3001480</xdr:colOff>
      <xdr:row>28</xdr:row>
      <xdr:rowOff>22151</xdr:rowOff>
    </xdr:to>
    <xdr:sp macro="" textlink="">
      <xdr:nvSpPr>
        <xdr:cNvPr id="19" name="18 Rectángulo"/>
        <xdr:cNvSpPr/>
      </xdr:nvSpPr>
      <xdr:spPr>
        <a:xfrm>
          <a:off x="8140551" y="5166976"/>
          <a:ext cx="841743" cy="6587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000">
              <a:solidFill>
                <a:srgbClr val="66FFFF"/>
              </a:solidFill>
            </a:rPr>
            <a:t>BORRAR</a:t>
          </a:r>
          <a:r>
            <a:rPr lang="es-HN" sz="1000" baseline="0">
              <a:solidFill>
                <a:srgbClr val="66FFFF"/>
              </a:solidFill>
            </a:rPr>
            <a:t> ULTIMO REGISTRO</a:t>
          </a:r>
          <a:endParaRPr lang="es-HN" sz="1000">
            <a:solidFill>
              <a:srgbClr val="66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111881</xdr:colOff>
      <xdr:row>7</xdr:row>
      <xdr:rowOff>41879</xdr:rowOff>
    </xdr:from>
    <xdr:to>
      <xdr:col>11</xdr:col>
      <xdr:colOff>84667</xdr:colOff>
      <xdr:row>9</xdr:row>
      <xdr:rowOff>60929</xdr:rowOff>
    </xdr:to>
    <xdr:sp macro="" textlink="">
      <xdr:nvSpPr>
        <xdr:cNvPr id="2" name="CuadroTexto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5456464" y="1396546"/>
          <a:ext cx="4767036" cy="400050"/>
        </a:xfrm>
        <a:prstGeom prst="rect">
          <a:avLst/>
        </a:prstGeom>
        <a:noFill/>
        <a:ln w="28575" cmpd="sng">
          <a:solidFill>
            <a:srgbClr val="66FFFF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REGISTRA</a:t>
          </a:r>
          <a:r>
            <a:rPr lang="es-SV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NUEVA</a:t>
          </a:r>
          <a:r>
            <a:rPr lang="es-SV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EMPRESA</a:t>
          </a:r>
          <a:endParaRPr lang="es-SV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xdr:twoCellAnchor editAs="oneCell">
    <xdr:from>
      <xdr:col>9</xdr:col>
      <xdr:colOff>2085976</xdr:colOff>
      <xdr:row>20</xdr:row>
      <xdr:rowOff>182695</xdr:rowOff>
    </xdr:from>
    <xdr:to>
      <xdr:col>9</xdr:col>
      <xdr:colOff>2085977</xdr:colOff>
      <xdr:row>23</xdr:row>
      <xdr:rowOff>68394</xdr:rowOff>
    </xdr:to>
    <xdr:pic macro="[0]!eliminar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6" y="4878520"/>
          <a:ext cx="457199" cy="457199"/>
        </a:xfrm>
        <a:prstGeom prst="rect">
          <a:avLst/>
        </a:prstGeom>
      </xdr:spPr>
    </xdr:pic>
    <xdr:clientData/>
  </xdr:twoCellAnchor>
  <xdr:twoCellAnchor editAs="oneCell">
    <xdr:from>
      <xdr:col>4</xdr:col>
      <xdr:colOff>264583</xdr:colOff>
      <xdr:row>11</xdr:row>
      <xdr:rowOff>105833</xdr:rowOff>
    </xdr:from>
    <xdr:to>
      <xdr:col>5</xdr:col>
      <xdr:colOff>307708</xdr:colOff>
      <xdr:row>13</xdr:row>
      <xdr:rowOff>29633</xdr:rowOff>
    </xdr:to>
    <xdr:sp macro="" textlink="">
      <xdr:nvSpPr>
        <xdr:cNvPr id="4" name="AutoShape 1" descr="limpiar icono gratis"/>
        <xdr:cNvSpPr>
          <a:spLocks noChangeAspect="1" noChangeArrowheads="1"/>
        </xdr:cNvSpPr>
      </xdr:nvSpPr>
      <xdr:spPr bwMode="auto">
        <a:xfrm>
          <a:off x="3312583" y="2222500"/>
          <a:ext cx="805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952498</xdr:colOff>
      <xdr:row>20</xdr:row>
      <xdr:rowOff>73964</xdr:rowOff>
    </xdr:from>
    <xdr:to>
      <xdr:col>9</xdr:col>
      <xdr:colOff>275164</xdr:colOff>
      <xdr:row>23</xdr:row>
      <xdr:rowOff>52797</xdr:rowOff>
    </xdr:to>
    <xdr:pic macro="[0]!guardarEmpres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3415" y="4148547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1171575</xdr:colOff>
      <xdr:row>21</xdr:row>
      <xdr:rowOff>76199</xdr:rowOff>
    </xdr:from>
    <xdr:to>
      <xdr:col>9</xdr:col>
      <xdr:colOff>1171575</xdr:colOff>
      <xdr:row>23</xdr:row>
      <xdr:rowOff>28574</xdr:rowOff>
    </xdr:to>
    <xdr:pic macro="[0]!limpiar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4962524"/>
          <a:ext cx="333375" cy="333375"/>
        </a:xfrm>
        <a:prstGeom prst="rect">
          <a:avLst/>
        </a:prstGeom>
      </xdr:spPr>
    </xdr:pic>
    <xdr:clientData/>
  </xdr:twoCellAnchor>
  <xdr:twoCellAnchor editAs="oneCell">
    <xdr:from>
      <xdr:col>9</xdr:col>
      <xdr:colOff>1079500</xdr:colOff>
      <xdr:row>20</xdr:row>
      <xdr:rowOff>138614</xdr:rowOff>
    </xdr:from>
    <xdr:to>
      <xdr:col>9</xdr:col>
      <xdr:colOff>1594933</xdr:colOff>
      <xdr:row>23</xdr:row>
      <xdr:rowOff>75928</xdr:rowOff>
    </xdr:to>
    <xdr:pic macro="[0]!limpiarEmpres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8083" y="4213197"/>
          <a:ext cx="515433" cy="508814"/>
        </a:xfrm>
        <a:prstGeom prst="rect">
          <a:avLst/>
        </a:prstGeom>
      </xdr:spPr>
    </xdr:pic>
    <xdr:clientData/>
  </xdr:twoCellAnchor>
  <xdr:twoCellAnchor editAs="oneCell">
    <xdr:from>
      <xdr:col>9</xdr:col>
      <xdr:colOff>2148417</xdr:colOff>
      <xdr:row>20</xdr:row>
      <xdr:rowOff>77371</xdr:rowOff>
    </xdr:from>
    <xdr:to>
      <xdr:col>9</xdr:col>
      <xdr:colOff>2772834</xdr:colOff>
      <xdr:row>23</xdr:row>
      <xdr:rowOff>121517</xdr:rowOff>
    </xdr:to>
    <xdr:pic macro="[0]!eliminarEmpresa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0" y="4151954"/>
          <a:ext cx="624417" cy="615646"/>
        </a:xfrm>
        <a:prstGeom prst="rect">
          <a:avLst/>
        </a:prstGeom>
      </xdr:spPr>
    </xdr:pic>
    <xdr:clientData/>
  </xdr:twoCellAnchor>
  <xdr:twoCellAnchor>
    <xdr:from>
      <xdr:col>6</xdr:col>
      <xdr:colOff>433914</xdr:colOff>
      <xdr:row>0</xdr:row>
      <xdr:rowOff>84666</xdr:rowOff>
    </xdr:from>
    <xdr:to>
      <xdr:col>8</xdr:col>
      <xdr:colOff>253997</xdr:colOff>
      <xdr:row>5</xdr:row>
      <xdr:rowOff>52916</xdr:rowOff>
    </xdr:to>
    <xdr:grpSp>
      <xdr:nvGrpSpPr>
        <xdr:cNvPr id="21" name="20 Grupo"/>
        <xdr:cNvGrpSpPr/>
      </xdr:nvGrpSpPr>
      <xdr:grpSpPr>
        <a:xfrm>
          <a:off x="5005914" y="84666"/>
          <a:ext cx="804333" cy="994833"/>
          <a:chOff x="5058832" y="71559"/>
          <a:chExt cx="709083" cy="956439"/>
        </a:xfrm>
      </xdr:grpSpPr>
      <xdr:pic macro="[0]!inicio">
        <xdr:nvPicPr>
          <xdr:cNvPr id="12" name="11 Imagen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11747" y="71559"/>
            <a:ext cx="559197" cy="628846"/>
          </a:xfrm>
          <a:prstGeom prst="rect">
            <a:avLst/>
          </a:prstGeom>
        </xdr:spPr>
      </xdr:pic>
      <xdr:sp macro="[0]!inicio" textlink="">
        <xdr:nvSpPr>
          <xdr:cNvPr id="13" name="12 Rectángulo redondeado"/>
          <xdr:cNvSpPr/>
        </xdr:nvSpPr>
        <xdr:spPr>
          <a:xfrm>
            <a:off x="5058832" y="765031"/>
            <a:ext cx="709083" cy="262967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INICIO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  <xdr:twoCellAnchor>
    <xdr:from>
      <xdr:col>8</xdr:col>
      <xdr:colOff>899583</xdr:colOff>
      <xdr:row>23</xdr:row>
      <xdr:rowOff>137582</xdr:rowOff>
    </xdr:from>
    <xdr:to>
      <xdr:col>9</xdr:col>
      <xdr:colOff>413981</xdr:colOff>
      <xdr:row>24</xdr:row>
      <xdr:rowOff>135367</xdr:rowOff>
    </xdr:to>
    <xdr:sp macro="" textlink="">
      <xdr:nvSpPr>
        <xdr:cNvPr id="14" name="13 Rectángulo"/>
        <xdr:cNvSpPr/>
      </xdr:nvSpPr>
      <xdr:spPr>
        <a:xfrm>
          <a:off x="6540500" y="4783665"/>
          <a:ext cx="742064" cy="1882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000">
              <a:solidFill>
                <a:srgbClr val="66FFFF"/>
              </a:solidFill>
            </a:rPr>
            <a:t>GUARDAR</a:t>
          </a:r>
        </a:p>
      </xdr:txBody>
    </xdr:sp>
    <xdr:clientData/>
  </xdr:twoCellAnchor>
  <xdr:twoCellAnchor>
    <xdr:from>
      <xdr:col>9</xdr:col>
      <xdr:colOff>963083</xdr:colOff>
      <xdr:row>23</xdr:row>
      <xdr:rowOff>166334</xdr:rowOff>
    </xdr:from>
    <xdr:to>
      <xdr:col>9</xdr:col>
      <xdr:colOff>1705147</xdr:colOff>
      <xdr:row>24</xdr:row>
      <xdr:rowOff>164119</xdr:rowOff>
    </xdr:to>
    <xdr:sp macro="" textlink="">
      <xdr:nvSpPr>
        <xdr:cNvPr id="17" name="16 Rectángulo"/>
        <xdr:cNvSpPr/>
      </xdr:nvSpPr>
      <xdr:spPr>
        <a:xfrm>
          <a:off x="7831666" y="4812417"/>
          <a:ext cx="742064" cy="1882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000">
              <a:solidFill>
                <a:srgbClr val="66FFFF"/>
              </a:solidFill>
            </a:rPr>
            <a:t>LIMPIAR</a:t>
          </a:r>
        </a:p>
      </xdr:txBody>
    </xdr:sp>
    <xdr:clientData/>
  </xdr:twoCellAnchor>
  <xdr:twoCellAnchor>
    <xdr:from>
      <xdr:col>9</xdr:col>
      <xdr:colOff>2088561</xdr:colOff>
      <xdr:row>23</xdr:row>
      <xdr:rowOff>74083</xdr:rowOff>
    </xdr:from>
    <xdr:to>
      <xdr:col>9</xdr:col>
      <xdr:colOff>2892204</xdr:colOff>
      <xdr:row>26</xdr:row>
      <xdr:rowOff>161363</xdr:rowOff>
    </xdr:to>
    <xdr:sp macro="" textlink="">
      <xdr:nvSpPr>
        <xdr:cNvPr id="18" name="17 Rectángulo"/>
        <xdr:cNvSpPr/>
      </xdr:nvSpPr>
      <xdr:spPr>
        <a:xfrm>
          <a:off x="8957144" y="4720166"/>
          <a:ext cx="803643" cy="6587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000">
              <a:solidFill>
                <a:srgbClr val="66FFFF"/>
              </a:solidFill>
            </a:rPr>
            <a:t>BORRAR</a:t>
          </a:r>
          <a:r>
            <a:rPr lang="es-HN" sz="1000" baseline="0">
              <a:solidFill>
                <a:srgbClr val="66FFFF"/>
              </a:solidFill>
            </a:rPr>
            <a:t> ULTIMO REGISTRO</a:t>
          </a:r>
          <a:endParaRPr lang="es-HN" sz="1000">
            <a:solidFill>
              <a:srgbClr val="66FFFF"/>
            </a:solidFill>
          </a:endParaRPr>
        </a:p>
      </xdr:txBody>
    </xdr:sp>
    <xdr:clientData/>
  </xdr:twoCellAnchor>
  <xdr:twoCellAnchor>
    <xdr:from>
      <xdr:col>9</xdr:col>
      <xdr:colOff>2635250</xdr:colOff>
      <xdr:row>0</xdr:row>
      <xdr:rowOff>63113</xdr:rowOff>
    </xdr:from>
    <xdr:to>
      <xdr:col>11</xdr:col>
      <xdr:colOff>306916</xdr:colOff>
      <xdr:row>5</xdr:row>
      <xdr:rowOff>54148</xdr:rowOff>
    </xdr:to>
    <xdr:grpSp>
      <xdr:nvGrpSpPr>
        <xdr:cNvPr id="8" name="7 Grupo"/>
        <xdr:cNvGrpSpPr/>
      </xdr:nvGrpSpPr>
      <xdr:grpSpPr>
        <a:xfrm>
          <a:off x="9419167" y="63113"/>
          <a:ext cx="1026582" cy="1017618"/>
          <a:chOff x="9503833" y="63113"/>
          <a:chExt cx="1026583" cy="1017618"/>
        </a:xfrm>
      </xdr:grpSpPr>
      <xdr:pic macro="[0]!bdEmpresas">
        <xdr:nvPicPr>
          <xdr:cNvPr id="19" name="18 Imagen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22962" y="63113"/>
            <a:ext cx="685203" cy="709470"/>
          </a:xfrm>
          <a:prstGeom prst="rect">
            <a:avLst/>
          </a:prstGeom>
        </xdr:spPr>
      </xdr:pic>
      <xdr:sp macro="[0]!bdEmpresas" textlink="">
        <xdr:nvSpPr>
          <xdr:cNvPr id="20" name="19 Rectángulo redondeado"/>
          <xdr:cNvSpPr/>
        </xdr:nvSpPr>
        <xdr:spPr>
          <a:xfrm>
            <a:off x="9503833" y="846667"/>
            <a:ext cx="1026583" cy="234064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EMPRESAS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371476</xdr:colOff>
      <xdr:row>0</xdr:row>
      <xdr:rowOff>28575</xdr:rowOff>
    </xdr:from>
    <xdr:to>
      <xdr:col>6</xdr:col>
      <xdr:colOff>381000</xdr:colOff>
      <xdr:row>1</xdr:row>
      <xdr:rowOff>361950</xdr:rowOff>
    </xdr:to>
    <xdr:grpSp>
      <xdr:nvGrpSpPr>
        <xdr:cNvPr id="5" name="4 Grupo"/>
        <xdr:cNvGrpSpPr/>
      </xdr:nvGrpSpPr>
      <xdr:grpSpPr>
        <a:xfrm>
          <a:off x="9115426" y="28575"/>
          <a:ext cx="771524" cy="790575"/>
          <a:chOff x="5058832" y="71559"/>
          <a:chExt cx="709083" cy="956439"/>
        </a:xfrm>
      </xdr:grpSpPr>
      <xdr:pic macro="[0]!inicio">
        <xdr:nvPicPr>
          <xdr:cNvPr id="6" name="5 Imagen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11747" y="71559"/>
            <a:ext cx="559197" cy="628846"/>
          </a:xfrm>
          <a:prstGeom prst="rect">
            <a:avLst/>
          </a:prstGeom>
        </xdr:spPr>
      </xdr:pic>
      <xdr:sp macro="[0]!inicio" textlink="">
        <xdr:nvSpPr>
          <xdr:cNvPr id="7" name="6 Rectángulo redondeado"/>
          <xdr:cNvSpPr/>
        </xdr:nvSpPr>
        <xdr:spPr>
          <a:xfrm>
            <a:off x="5058832" y="765031"/>
            <a:ext cx="709083" cy="262967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INICIO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47625</xdr:rowOff>
    </xdr:from>
    <xdr:to>
      <xdr:col>5</xdr:col>
      <xdr:colOff>257176</xdr:colOff>
      <xdr:row>4</xdr:row>
      <xdr:rowOff>314325</xdr:rowOff>
    </xdr:to>
    <xdr:grpSp>
      <xdr:nvGrpSpPr>
        <xdr:cNvPr id="2" name="1 Grupo"/>
        <xdr:cNvGrpSpPr/>
      </xdr:nvGrpSpPr>
      <xdr:grpSpPr>
        <a:xfrm>
          <a:off x="6734175" y="47625"/>
          <a:ext cx="771526" cy="781050"/>
          <a:chOff x="5058832" y="71559"/>
          <a:chExt cx="709083" cy="956439"/>
        </a:xfrm>
      </xdr:grpSpPr>
      <xdr:pic macro="[0]!inicio">
        <xdr:nvPicPr>
          <xdr:cNvPr id="3" name="2 Imagen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11747" y="71559"/>
            <a:ext cx="559197" cy="628846"/>
          </a:xfrm>
          <a:prstGeom prst="rect">
            <a:avLst/>
          </a:prstGeom>
        </xdr:spPr>
      </xdr:pic>
      <xdr:sp macro="[0]!inicio" textlink="">
        <xdr:nvSpPr>
          <xdr:cNvPr id="4" name="3 Rectángulo redondeado"/>
          <xdr:cNvSpPr/>
        </xdr:nvSpPr>
        <xdr:spPr>
          <a:xfrm>
            <a:off x="5058832" y="765031"/>
            <a:ext cx="709083" cy="262967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INICIO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145791</xdr:colOff>
      <xdr:row>5</xdr:row>
      <xdr:rowOff>169303</xdr:rowOff>
    </xdr:from>
    <xdr:to>
      <xdr:col>8</xdr:col>
      <xdr:colOff>417935</xdr:colOff>
      <xdr:row>6</xdr:row>
      <xdr:rowOff>228495</xdr:rowOff>
    </xdr:to>
    <xdr:pic macro="[0]!boton_formulario_cliente">
      <xdr:nvPicPr>
        <xdr:cNvPr id="5" name="4 Imagen" descr="Lupa simple - Descargar PNG/SVG transparent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1530017"/>
          <a:ext cx="272144" cy="27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123242</xdr:colOff>
      <xdr:row>7</xdr:row>
      <xdr:rowOff>156472</xdr:rowOff>
    </xdr:from>
    <xdr:to>
      <xdr:col>8</xdr:col>
      <xdr:colOff>395386</xdr:colOff>
      <xdr:row>8</xdr:row>
      <xdr:rowOff>226132</xdr:rowOff>
    </xdr:to>
    <xdr:pic macro="[0]!boton_formulario_empresas">
      <xdr:nvPicPr>
        <xdr:cNvPr id="7" name="6 Imagen" descr="Lupa simple - Descargar PNG/SVG transparent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3701" y="1925401"/>
          <a:ext cx="272144" cy="27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403473</xdr:colOff>
      <xdr:row>6</xdr:row>
      <xdr:rowOff>208592</xdr:rowOff>
    </xdr:from>
    <xdr:to>
      <xdr:col>10</xdr:col>
      <xdr:colOff>62801</xdr:colOff>
      <xdr:row>9</xdr:row>
      <xdr:rowOff>178232</xdr:rowOff>
    </xdr:to>
    <xdr:pic macro="[0]!calcular"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30" t="9445" r="17352" b="9088"/>
        <a:stretch/>
      </xdr:blipFill>
      <xdr:spPr>
        <a:xfrm>
          <a:off x="9562127" y="1443702"/>
          <a:ext cx="559493" cy="670931"/>
        </a:xfrm>
        <a:prstGeom prst="rect">
          <a:avLst/>
        </a:prstGeom>
      </xdr:spPr>
    </xdr:pic>
    <xdr:clientData/>
  </xdr:twoCellAnchor>
  <xdr:twoCellAnchor>
    <xdr:from>
      <xdr:col>9</xdr:col>
      <xdr:colOff>62802</xdr:colOff>
      <xdr:row>17</xdr:row>
      <xdr:rowOff>10468</xdr:rowOff>
    </xdr:from>
    <xdr:to>
      <xdr:col>9</xdr:col>
      <xdr:colOff>868764</xdr:colOff>
      <xdr:row>20</xdr:row>
      <xdr:rowOff>83737</xdr:rowOff>
    </xdr:to>
    <xdr:sp macro="" textlink="">
      <xdr:nvSpPr>
        <xdr:cNvPr id="6" name="5 Llamada de flecha hacia arriba"/>
        <xdr:cNvSpPr/>
      </xdr:nvSpPr>
      <xdr:spPr>
        <a:xfrm>
          <a:off x="9305192" y="3338984"/>
          <a:ext cx="805962" cy="669890"/>
        </a:xfrm>
        <a:prstGeom prst="upArrowCallout">
          <a:avLst/>
        </a:prstGeom>
        <a:solidFill>
          <a:srgbClr val="66FFFF">
            <a:alpha val="54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100" b="0" cap="none" spc="0">
              <a:ln w="1905"/>
              <a:solidFill>
                <a:schemeClr val="tx1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Interes</a:t>
          </a:r>
          <a:r>
            <a:rPr lang="es-HN" sz="1100" b="0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</a:t>
          </a:r>
          <a:r>
            <a:rPr lang="es-HN" sz="1100" b="0" cap="none" spc="0" baseline="0">
              <a:ln w="1905"/>
              <a:solidFill>
                <a:schemeClr val="tx1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Generado</a:t>
          </a:r>
          <a:endParaRPr lang="es-HN" sz="1100" b="0" cap="none" spc="0">
            <a:ln w="1905"/>
            <a:solidFill>
              <a:schemeClr val="tx1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twoCellAnchor>
  <xdr:twoCellAnchor>
    <xdr:from>
      <xdr:col>7</xdr:col>
      <xdr:colOff>1004835</xdr:colOff>
      <xdr:row>0</xdr:row>
      <xdr:rowOff>41869</xdr:rowOff>
    </xdr:from>
    <xdr:to>
      <xdr:col>7</xdr:col>
      <xdr:colOff>1685192</xdr:colOff>
      <xdr:row>3</xdr:row>
      <xdr:rowOff>188407</xdr:rowOff>
    </xdr:to>
    <xdr:grpSp>
      <xdr:nvGrpSpPr>
        <xdr:cNvPr id="8" name="7 Grupo"/>
        <xdr:cNvGrpSpPr/>
      </xdr:nvGrpSpPr>
      <xdr:grpSpPr>
        <a:xfrm>
          <a:off x="6857418" y="41869"/>
          <a:ext cx="680357" cy="718038"/>
          <a:chOff x="5058832" y="71559"/>
          <a:chExt cx="709083" cy="956439"/>
        </a:xfrm>
      </xdr:grpSpPr>
      <xdr:pic macro="[0]!inicio">
        <xdr:nvPicPr>
          <xdr:cNvPr id="9" name="8 Imagen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11747" y="71559"/>
            <a:ext cx="559197" cy="628846"/>
          </a:xfrm>
          <a:prstGeom prst="rect">
            <a:avLst/>
          </a:prstGeom>
        </xdr:spPr>
      </xdr:pic>
      <xdr:sp macro="[0]!inicio" textlink="">
        <xdr:nvSpPr>
          <xdr:cNvPr id="10" name="9 Rectángulo redondeado"/>
          <xdr:cNvSpPr/>
        </xdr:nvSpPr>
        <xdr:spPr>
          <a:xfrm>
            <a:off x="5058832" y="765031"/>
            <a:ext cx="709083" cy="262967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INICIO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  <xdr:twoCellAnchor editAs="oneCell">
    <xdr:from>
      <xdr:col>9</xdr:col>
      <xdr:colOff>429149</xdr:colOff>
      <xdr:row>11</xdr:row>
      <xdr:rowOff>31400</xdr:rowOff>
    </xdr:from>
    <xdr:to>
      <xdr:col>10</xdr:col>
      <xdr:colOff>73270</xdr:colOff>
      <xdr:row>13</xdr:row>
      <xdr:rowOff>125604</xdr:rowOff>
    </xdr:to>
    <xdr:pic macro="[0]!limpiarCalculadora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7803" y="2417884"/>
          <a:ext cx="544286" cy="544286"/>
        </a:xfrm>
        <a:prstGeom prst="rect">
          <a:avLst/>
        </a:prstGeom>
      </xdr:spPr>
    </xdr:pic>
    <xdr:clientData/>
  </xdr:twoCellAnchor>
  <xdr:twoCellAnchor>
    <xdr:from>
      <xdr:col>10</xdr:col>
      <xdr:colOff>345411</xdr:colOff>
      <xdr:row>11</xdr:row>
      <xdr:rowOff>73269</xdr:rowOff>
    </xdr:from>
    <xdr:to>
      <xdr:col>11</xdr:col>
      <xdr:colOff>376813</xdr:colOff>
      <xdr:row>13</xdr:row>
      <xdr:rowOff>125604</xdr:rowOff>
    </xdr:to>
    <xdr:sp macro="[0]!limpiarCalculadora" textlink="">
      <xdr:nvSpPr>
        <xdr:cNvPr id="12" name="11 Rectángulo"/>
        <xdr:cNvSpPr/>
      </xdr:nvSpPr>
      <xdr:spPr>
        <a:xfrm>
          <a:off x="10404230" y="2459753"/>
          <a:ext cx="795495" cy="502417"/>
        </a:xfrm>
        <a:prstGeom prst="rect">
          <a:avLst/>
        </a:prstGeom>
        <a:noFill/>
        <a:ln>
          <a:solidFill>
            <a:srgbClr val="00FF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HN" sz="12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LIMPIAR </a:t>
          </a:r>
        </a:p>
      </xdr:txBody>
    </xdr:sp>
    <xdr:clientData/>
  </xdr:twoCellAnchor>
  <xdr:twoCellAnchor>
    <xdr:from>
      <xdr:col>10</xdr:col>
      <xdr:colOff>285750</xdr:colOff>
      <xdr:row>7</xdr:row>
      <xdr:rowOff>26677</xdr:rowOff>
    </xdr:from>
    <xdr:to>
      <xdr:col>11</xdr:col>
      <xdr:colOff>455083</xdr:colOff>
      <xdr:row>9</xdr:row>
      <xdr:rowOff>95250</xdr:rowOff>
    </xdr:to>
    <xdr:sp macro="[0]!calcular" textlink="">
      <xdr:nvSpPr>
        <xdr:cNvPr id="13" name="12 Rectángulo"/>
        <xdr:cNvSpPr/>
      </xdr:nvSpPr>
      <xdr:spPr>
        <a:xfrm>
          <a:off x="10329333" y="1518927"/>
          <a:ext cx="931333" cy="513073"/>
        </a:xfrm>
        <a:prstGeom prst="rect">
          <a:avLst/>
        </a:prstGeom>
        <a:noFill/>
        <a:ln>
          <a:solidFill>
            <a:srgbClr val="00FF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200" b="1">
              <a:solidFill>
                <a:schemeClr val="accent1">
                  <a:lumMod val="50000"/>
                </a:schemeClr>
              </a:solidFill>
            </a:rPr>
            <a:t>CREAR</a:t>
          </a:r>
          <a:r>
            <a:rPr lang="es-HN" sz="1200" b="1" baseline="0">
              <a:solidFill>
                <a:schemeClr val="accent1">
                  <a:lumMod val="50000"/>
                </a:schemeClr>
              </a:solidFill>
            </a:rPr>
            <a:t> CUENTA </a:t>
          </a:r>
          <a:endParaRPr lang="es-HN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302657</xdr:colOff>
      <xdr:row>5</xdr:row>
      <xdr:rowOff>178803</xdr:rowOff>
    </xdr:from>
    <xdr:to>
      <xdr:col>8</xdr:col>
      <xdr:colOff>805345</xdr:colOff>
      <xdr:row>7</xdr:row>
      <xdr:rowOff>165510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7736803" y="1503010"/>
          <a:ext cx="4729697" cy="404878"/>
        </a:xfrm>
        <a:prstGeom prst="rect">
          <a:avLst/>
        </a:prstGeom>
        <a:noFill/>
        <a:ln w="38100" cmpd="sng">
          <a:solidFill>
            <a:srgbClr val="66FFFF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ESTADO DE CUENTAS</a:t>
          </a:r>
        </a:p>
      </xdr:txBody>
    </xdr:sp>
    <xdr:clientData fLocksWithSheet="0"/>
  </xdr:twoCellAnchor>
  <xdr:twoCellAnchor editAs="oneCell">
    <xdr:from>
      <xdr:col>15</xdr:col>
      <xdr:colOff>1883430</xdr:colOff>
      <xdr:row>0</xdr:row>
      <xdr:rowOff>116055</xdr:rowOff>
    </xdr:from>
    <xdr:to>
      <xdr:col>15</xdr:col>
      <xdr:colOff>2685512</xdr:colOff>
      <xdr:row>3</xdr:row>
      <xdr:rowOff>250031</xdr:rowOff>
    </xdr:to>
    <xdr:pic macro="[0]!eliminar_Cuenta_Por_Cobrar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64771" y="116055"/>
          <a:ext cx="802082" cy="796080"/>
        </a:xfrm>
        <a:prstGeom prst="rect">
          <a:avLst/>
        </a:prstGeom>
      </xdr:spPr>
    </xdr:pic>
    <xdr:clientData/>
  </xdr:twoCellAnchor>
  <xdr:twoCellAnchor>
    <xdr:from>
      <xdr:col>15</xdr:col>
      <xdr:colOff>2766172</xdr:colOff>
      <xdr:row>1</xdr:row>
      <xdr:rowOff>22169</xdr:rowOff>
    </xdr:from>
    <xdr:to>
      <xdr:col>16</xdr:col>
      <xdr:colOff>940594</xdr:colOff>
      <xdr:row>3</xdr:row>
      <xdr:rowOff>265004</xdr:rowOff>
    </xdr:to>
    <xdr:sp macro="[0]!eliminar_Cuenta_Por_Cobrar" textlink="">
      <xdr:nvSpPr>
        <xdr:cNvPr id="3" name="2 Rectángulo"/>
        <xdr:cNvSpPr/>
      </xdr:nvSpPr>
      <xdr:spPr>
        <a:xfrm>
          <a:off x="21149422" y="212669"/>
          <a:ext cx="972391" cy="73099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HN" sz="1300"/>
            <a:t>Eliminar Cuenta por Cobrar</a:t>
          </a:r>
        </a:p>
      </xdr:txBody>
    </xdr:sp>
    <xdr:clientData/>
  </xdr:twoCellAnchor>
  <xdr:twoCellAnchor>
    <xdr:from>
      <xdr:col>10</xdr:col>
      <xdr:colOff>988221</xdr:colOff>
      <xdr:row>1</xdr:row>
      <xdr:rowOff>50475</xdr:rowOff>
    </xdr:from>
    <xdr:to>
      <xdr:col>12</xdr:col>
      <xdr:colOff>225678</xdr:colOff>
      <xdr:row>3</xdr:row>
      <xdr:rowOff>321468</xdr:rowOff>
    </xdr:to>
    <xdr:sp macro="" textlink="">
      <xdr:nvSpPr>
        <xdr:cNvPr id="6" name="5 Rectángulo"/>
        <xdr:cNvSpPr/>
      </xdr:nvSpPr>
      <xdr:spPr>
        <a:xfrm>
          <a:off x="14287502" y="240975"/>
          <a:ext cx="1428207" cy="75914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HN" sz="1300">
              <a:solidFill>
                <a:schemeClr val="bg1"/>
              </a:solidFill>
            </a:rPr>
            <a:t>Inserte la fecha de Pago</a:t>
          </a:r>
          <a:r>
            <a:rPr lang="es-HN" sz="1300" baseline="0">
              <a:solidFill>
                <a:schemeClr val="bg1"/>
              </a:solidFill>
            </a:rPr>
            <a:t> del </a:t>
          </a:r>
          <a:r>
            <a:rPr lang="es-HN" sz="1300" b="1" baseline="0">
              <a:solidFill>
                <a:srgbClr val="66FFFF"/>
              </a:solidFill>
            </a:rPr>
            <a:t>N° Cuota </a:t>
          </a:r>
          <a:r>
            <a:rPr lang="es-HN" sz="1300" baseline="0">
              <a:solidFill>
                <a:schemeClr val="bg1"/>
              </a:solidFill>
            </a:rPr>
            <a:t> correspondiente </a:t>
          </a:r>
          <a:endParaRPr lang="es-HN" sz="13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167472</xdr:colOff>
      <xdr:row>4</xdr:row>
      <xdr:rowOff>167472</xdr:rowOff>
    </xdr:from>
    <xdr:to>
      <xdr:col>11</xdr:col>
      <xdr:colOff>764093</xdr:colOff>
      <xdr:row>8</xdr:row>
      <xdr:rowOff>94204</xdr:rowOff>
    </xdr:to>
    <xdr:sp macro="" textlink="">
      <xdr:nvSpPr>
        <xdr:cNvPr id="4" name="3 Flecha abajo"/>
        <xdr:cNvSpPr/>
      </xdr:nvSpPr>
      <xdr:spPr>
        <a:xfrm>
          <a:off x="14706181" y="1099038"/>
          <a:ext cx="596621" cy="680358"/>
        </a:xfrm>
        <a:prstGeom prst="downArrow">
          <a:avLst/>
        </a:prstGeom>
        <a:solidFill>
          <a:srgbClr val="FF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>
    <xdr:from>
      <xdr:col>6</xdr:col>
      <xdr:colOff>285744</xdr:colOff>
      <xdr:row>0</xdr:row>
      <xdr:rowOff>107158</xdr:rowOff>
    </xdr:from>
    <xdr:to>
      <xdr:col>6</xdr:col>
      <xdr:colOff>1125797</xdr:colOff>
      <xdr:row>3</xdr:row>
      <xdr:rowOff>369096</xdr:rowOff>
    </xdr:to>
    <xdr:grpSp>
      <xdr:nvGrpSpPr>
        <xdr:cNvPr id="7" name="6 Grupo"/>
        <xdr:cNvGrpSpPr/>
      </xdr:nvGrpSpPr>
      <xdr:grpSpPr>
        <a:xfrm>
          <a:off x="9382119" y="107158"/>
          <a:ext cx="840053" cy="940594"/>
          <a:chOff x="5058832" y="71559"/>
          <a:chExt cx="709083" cy="956439"/>
        </a:xfrm>
      </xdr:grpSpPr>
      <xdr:pic macro="[0]!inicio">
        <xdr:nvPicPr>
          <xdr:cNvPr id="8" name="7 Imagen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11747" y="71559"/>
            <a:ext cx="559197" cy="628846"/>
          </a:xfrm>
          <a:prstGeom prst="rect">
            <a:avLst/>
          </a:prstGeom>
        </xdr:spPr>
      </xdr:pic>
      <xdr:sp macro="[0]!inicio" textlink="">
        <xdr:nvSpPr>
          <xdr:cNvPr id="9" name="8 Rectángulo redondeado"/>
          <xdr:cNvSpPr/>
        </xdr:nvSpPr>
        <xdr:spPr>
          <a:xfrm>
            <a:off x="5058832" y="765031"/>
            <a:ext cx="709083" cy="262967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INICIO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  <xdr:twoCellAnchor>
    <xdr:from>
      <xdr:col>8</xdr:col>
      <xdr:colOff>371707</xdr:colOff>
      <xdr:row>2</xdr:row>
      <xdr:rowOff>238244</xdr:rowOff>
    </xdr:from>
    <xdr:to>
      <xdr:col>10</xdr:col>
      <xdr:colOff>976605</xdr:colOff>
      <xdr:row>8</xdr:row>
      <xdr:rowOff>162622</xdr:rowOff>
    </xdr:to>
    <xdr:cxnSp macro="">
      <xdr:nvCxnSpPr>
        <xdr:cNvPr id="23" name="22 Conector angular"/>
        <xdr:cNvCxnSpPr/>
      </xdr:nvCxnSpPr>
      <xdr:spPr>
        <a:xfrm flipV="1">
          <a:off x="11790091" y="609951"/>
          <a:ext cx="2498282" cy="1480903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373297</xdr:colOff>
      <xdr:row>8</xdr:row>
      <xdr:rowOff>162622</xdr:rowOff>
    </xdr:from>
    <xdr:to>
      <xdr:col>8</xdr:col>
      <xdr:colOff>373297</xdr:colOff>
      <xdr:row>9</xdr:row>
      <xdr:rowOff>162622</xdr:rowOff>
    </xdr:to>
    <xdr:cxnSp macro="">
      <xdr:nvCxnSpPr>
        <xdr:cNvPr id="28" name="27 Conector recto de flecha"/>
        <xdr:cNvCxnSpPr/>
      </xdr:nvCxnSpPr>
      <xdr:spPr>
        <a:xfrm>
          <a:off x="11793271" y="2117754"/>
          <a:ext cx="0" cy="27071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228180</xdr:colOff>
      <xdr:row>5</xdr:row>
      <xdr:rowOff>3663</xdr:rowOff>
    </xdr:from>
    <xdr:to>
      <xdr:col>16</xdr:col>
      <xdr:colOff>824801</xdr:colOff>
      <xdr:row>8</xdr:row>
      <xdr:rowOff>120895</xdr:rowOff>
    </xdr:to>
    <xdr:sp macro="" textlink="">
      <xdr:nvSpPr>
        <xdr:cNvPr id="30" name="29 Flecha abajo"/>
        <xdr:cNvSpPr/>
      </xdr:nvSpPr>
      <xdr:spPr>
        <a:xfrm>
          <a:off x="21409399" y="1349069"/>
          <a:ext cx="596621" cy="724451"/>
        </a:xfrm>
        <a:prstGeom prst="downArrow">
          <a:avLst/>
        </a:prstGeom>
        <a:solidFill>
          <a:srgbClr val="FFC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99219</xdr:colOff>
      <xdr:row>5</xdr:row>
      <xdr:rowOff>141174</xdr:rowOff>
    </xdr:from>
    <xdr:to>
      <xdr:col>9</xdr:col>
      <xdr:colOff>522805</xdr:colOff>
      <xdr:row>7</xdr:row>
      <xdr:rowOff>8400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512594" y="1474674"/>
          <a:ext cx="6298406" cy="391101"/>
        </a:xfrm>
        <a:prstGeom prst="rect">
          <a:avLst/>
        </a:prstGeom>
        <a:noFill/>
        <a:ln w="38100" cmpd="sng">
          <a:solidFill>
            <a:srgbClr val="66FFFF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RESUMEN DE CUENTAS POR</a:t>
          </a:r>
          <a:r>
            <a:rPr lang="es-SV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COBRAR</a:t>
          </a:r>
          <a:endParaRPr lang="es-SV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xdr:twoCellAnchor>
    <xdr:from>
      <xdr:col>5</xdr:col>
      <xdr:colOff>2849562</xdr:colOff>
      <xdr:row>0</xdr:row>
      <xdr:rowOff>111125</xdr:rowOff>
    </xdr:from>
    <xdr:to>
      <xdr:col>6</xdr:col>
      <xdr:colOff>578698</xdr:colOff>
      <xdr:row>3</xdr:row>
      <xdr:rowOff>345638</xdr:rowOff>
    </xdr:to>
    <xdr:grpSp>
      <xdr:nvGrpSpPr>
        <xdr:cNvPr id="13" name="12 Grupo"/>
        <xdr:cNvGrpSpPr/>
      </xdr:nvGrpSpPr>
      <xdr:grpSpPr>
        <a:xfrm>
          <a:off x="8266906" y="111125"/>
          <a:ext cx="705698" cy="889357"/>
          <a:chOff x="4286251" y="85295"/>
          <a:chExt cx="697760" cy="889357"/>
        </a:xfrm>
      </xdr:grpSpPr>
      <xdr:pic macro="[0]!inicio">
        <xdr:nvPicPr>
          <xdr:cNvPr id="14" name="13 Imagen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63779" y="85295"/>
            <a:ext cx="558891" cy="558217"/>
          </a:xfrm>
          <a:prstGeom prst="rect">
            <a:avLst/>
          </a:prstGeom>
        </xdr:spPr>
      </xdr:pic>
      <xdr:sp macro="[0]!inicio" textlink="">
        <xdr:nvSpPr>
          <xdr:cNvPr id="15" name="14 Rectángulo redondeado"/>
          <xdr:cNvSpPr/>
        </xdr:nvSpPr>
        <xdr:spPr>
          <a:xfrm>
            <a:off x="4286251" y="708838"/>
            <a:ext cx="697760" cy="265814"/>
          </a:xfrm>
          <a:prstGeom prst="roundRect">
            <a:avLst/>
          </a:prstGeom>
          <a:solidFill>
            <a:srgbClr val="00206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HN" sz="14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INICIO</a:t>
            </a:r>
            <a:endParaRPr lang="es-HN" sz="1400">
              <a:effectLst/>
            </a:endParaRPr>
          </a:p>
          <a:p>
            <a:pPr algn="ctr"/>
            <a:endParaRPr lang="es-HN" sz="1100"/>
          </a:p>
        </xdr:txBody>
      </xdr:sp>
    </xdr:grpSp>
    <xdr:clientData/>
  </xdr:twoCellAnchor>
  <xdr:twoCellAnchor>
    <xdr:from>
      <xdr:col>8</xdr:col>
      <xdr:colOff>284232</xdr:colOff>
      <xdr:row>1</xdr:row>
      <xdr:rowOff>29566</xdr:rowOff>
    </xdr:from>
    <xdr:to>
      <xdr:col>9</xdr:col>
      <xdr:colOff>125342</xdr:colOff>
      <xdr:row>3</xdr:row>
      <xdr:rowOff>357188</xdr:rowOff>
    </xdr:to>
    <xdr:pic macro="[0]!estadoCuentas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8857" y="220066"/>
          <a:ext cx="805516" cy="791966"/>
        </a:xfrm>
        <a:prstGeom prst="rect">
          <a:avLst/>
        </a:prstGeom>
      </xdr:spPr>
    </xdr:pic>
    <xdr:clientData/>
  </xdr:twoCellAnchor>
  <xdr:twoCellAnchor>
    <xdr:from>
      <xdr:col>9</xdr:col>
      <xdr:colOff>250031</xdr:colOff>
      <xdr:row>1</xdr:row>
      <xdr:rowOff>83344</xdr:rowOff>
    </xdr:from>
    <xdr:to>
      <xdr:col>10</xdr:col>
      <xdr:colOff>881062</xdr:colOff>
      <xdr:row>3</xdr:row>
      <xdr:rowOff>357187</xdr:rowOff>
    </xdr:to>
    <xdr:sp macro="[0]!estadoCuentas" textlink="">
      <xdr:nvSpPr>
        <xdr:cNvPr id="3" name="2 Rectángulo redondeado"/>
        <xdr:cNvSpPr/>
      </xdr:nvSpPr>
      <xdr:spPr>
        <a:xfrm>
          <a:off x="11549062" y="273844"/>
          <a:ext cx="1595438" cy="738187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HN" sz="1200" b="1"/>
            <a:t>Estado</a:t>
          </a:r>
          <a:r>
            <a:rPr lang="es-HN" sz="1200" b="1" baseline="0"/>
            <a:t>  de Cuentas/  Abonar/ Eliminar Cuenta Por Cobrar</a:t>
          </a:r>
          <a:endParaRPr lang="es-HN" sz="1200" b="1"/>
        </a:p>
      </xdr:txBody>
    </xdr:sp>
    <xdr:clientData/>
  </xdr:twoCellAnchor>
</xdr:wsDr>
</file>

<file path=xl/tables/table1.xml><?xml version="1.0" encoding="utf-8"?>
<table xmlns="http://schemas.openxmlformats.org/spreadsheetml/2006/main" id="1" name="CLIENTES" displayName="CLIENTES" ref="B2:E9" totalsRowShown="0" headerRowDxfId="53" dataDxfId="52">
  <autoFilter ref="B2:E9"/>
  <tableColumns count="4">
    <tableColumn id="1" name="ID Cliente" dataDxfId="51"/>
    <tableColumn id="2" name="Nombre" dataDxfId="50"/>
    <tableColumn id="3" name="Direccion" dataDxfId="49"/>
    <tableColumn id="4" name="Telefono" dataDxfId="4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EMPRESAS" displayName="EMPRESAS" ref="B5:D11" totalsRowShown="0" headerRowDxfId="47">
  <autoFilter ref="B5:D11"/>
  <tableColumns count="3">
    <tableColumn id="1" name="Codigo Empresa" dataDxfId="46"/>
    <tableColumn id="2" name="Nombre" dataDxfId="45"/>
    <tableColumn id="3" name="Telefono" dataDxfId="4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2" name="ESTADOS" displayName="ESTADOS" ref="B10:Q20" totalsRowShown="0" headerRowDxfId="37" dataDxfId="35" headerRowBorderDxfId="36" tableBorderDxfId="34">
  <autoFilter ref="B10:Q20"/>
  <tableColumns count="16">
    <tableColumn id="1" name="ID Cliente" dataDxfId="33"/>
    <tableColumn id="15" name="Codigo Empresa" dataDxfId="32"/>
    <tableColumn id="2" name="Nombre del Cliente" dataDxfId="31">
      <calculatedColumnFormula>VLOOKUP(ESTADOS[ID Cliente],CLIENTES[],2,FALSE)</calculatedColumnFormula>
    </tableColumn>
    <tableColumn id="16" name="Empresa" dataDxfId="30">
      <calculatedColumnFormula>VLOOKUP(ESTADOS[Codigo Empresa], EMPRESAS[], 2,FALSE)</calculatedColumnFormula>
    </tableColumn>
    <tableColumn id="3" name="No. Factura" dataDxfId="29"/>
    <tableColumn id="17" name="Valor Factura" dataDxfId="28" dataCellStyle="Moneda"/>
    <tableColumn id="4" name="Fecha Venta" dataDxfId="27"/>
    <tableColumn id="5" name="N° Cuota" dataDxfId="26"/>
    <tableColumn id="20" name="Importe Cuota" dataDxfId="25" dataCellStyle="Moneda"/>
    <tableColumn id="7" name="Modalidad de Pago" dataDxfId="24"/>
    <tableColumn id="8" name="Fecha PAGO" dataDxfId="23"/>
    <tableColumn id="18" name="Fecha Vencimiento" dataDxfId="22"/>
    <tableColumn id="9" name="Estado de Factura " dataDxfId="21">
      <calculatedColumnFormula>IF(ISNUMBER(L11),"PAGADO",IF(ESTADOS[[#This Row],[Fecha Vencimiento]]&gt;$C$6,"PENDIENTE",IF(ESTADOS[[#This Row],[Fecha Vencimiento]]&lt;$C$6,"VENCIDO","")))</calculatedColumnFormula>
    </tableColumn>
    <tableColumn id="11" name="Dias de Mora" dataDxfId="20">
      <calculatedColumnFormula>IF(ESTADOS[[#This Row],[Estado de Factura ]]="PAGADO","0",IF(ESTADOS[[#This Row],[Fecha Vencimiento]]&lt;$C$6,ESTADOS[[#This Row],[Fecha Vencimiento]]-$C$6,"0"))</calculatedColumnFormula>
    </tableColumn>
    <tableColumn id="12" name="Alerta" dataDxfId="19">
      <calculatedColumnFormula>IF(ESTADOS[[#This Row],[Estado de Factura ]]="PAGADO","",IF(ESTADOS[[#This Row],[Dias de Mora]]&lt;=-1,"Ha Excedido el limite de tiempo de Pago",""))</calculatedColumnFormula>
    </tableColumn>
    <tableColumn id="14" name="Cod. Cuenta por Cobrar " dataDxfId="18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id="4" name="RESUMEN" displayName="RESUMEN" ref="B9:N10" totalsRowShown="0" headerRowDxfId="15" dataDxfId="13" headerRowBorderDxfId="14">
  <autoFilter ref="B9:N10"/>
  <tableColumns count="13">
    <tableColumn id="1" name="Cod. Cuenta por Cobrar" dataDxfId="12"/>
    <tableColumn id="2" name="ID Cliente" dataDxfId="11"/>
    <tableColumn id="10" name="Codigo Empresa" dataDxfId="10"/>
    <tableColumn id="11" name="Cliente" dataDxfId="9">
      <calculatedColumnFormula>VLOOKUP(RESUMEN[ID Cliente],CLIENTES[],2,FALSE)</calculatedColumnFormula>
    </tableColumn>
    <tableColumn id="12" name="Empresa" dataDxfId="8">
      <calculatedColumnFormula>VLOOKUP(RESUMEN[Codigo Empresa],EMPRESAS[],2,FALSE)</calculatedColumnFormula>
    </tableColumn>
    <tableColumn id="3" name="Fecha de Credito" dataDxfId="7"/>
    <tableColumn id="4" name="Valor Factura" dataDxfId="6"/>
    <tableColumn id="5" name="Modalidad de Pago" dataDxfId="5"/>
    <tableColumn id="13" name="Tasa de Interes" dataDxfId="4"/>
    <tableColumn id="6" name="Monto Pagado" dataDxfId="3">
      <calculatedColumnFormula>SUMIFS(ESTADOS[Importe Cuota],ESTADOS[Cod. Cuenta por Cobrar ],RESUMEN[[#This Row],[Cod. Cuenta por Cobrar]],ESTADOS[[Estado de Factura ]],"PAGADO")</calculatedColumnFormula>
    </tableColumn>
    <tableColumn id="15" name="Ganancia" dataDxfId="2">
      <calculatedColumnFormula>RESUMEN[Monto Pagado]-RESUMEN[Valor Factura]</calculatedColumnFormula>
    </tableColumn>
    <tableColumn id="8" name="Deuda" dataDxfId="1">
      <calculatedColumnFormula>((RESUMEN[Valor Factura]*RESUMEN[Tasa de Interes])+RESUMEN[Valor Factura])-RESUMEN[Monto Pagado]</calculatedColumnFormula>
    </tableColumn>
    <tableColumn id="9" name="Cuotas Restantes" dataDxfId="0">
      <calculatedColumnFormula>COUNTIFS(ESTADOS[Cod. Cuenta por Cobrar ],RESUMEN[[#This Row],[Cod. Cuenta por Cobrar]],ESTADOS[Fecha PAGO],"")</calculatedColumnFormula>
    </tableColumn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C00000"/>
  </sheetPr>
  <dimension ref="A1:GU441"/>
  <sheetViews>
    <sheetView showGridLines="0" topLeftCell="A2" zoomScaleNormal="100" workbookViewId="0">
      <selection activeCell="H26" sqref="H26"/>
    </sheetView>
  </sheetViews>
  <sheetFormatPr baseColWidth="10" defaultRowHeight="15" x14ac:dyDescent="0.25"/>
  <sheetData>
    <row r="1" spans="1:203" x14ac:dyDescent="0.2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</row>
    <row r="2" spans="1:203" x14ac:dyDescent="0.2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</row>
    <row r="3" spans="1:203" x14ac:dyDescent="0.25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</row>
    <row r="4" spans="1:203" x14ac:dyDescent="0.25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</row>
    <row r="5" spans="1:203" x14ac:dyDescent="0.2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</row>
    <row r="6" spans="1:203" x14ac:dyDescent="0.25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</row>
    <row r="7" spans="1:203" x14ac:dyDescent="0.2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</row>
    <row r="8" spans="1:203" x14ac:dyDescent="0.25">
      <c r="A8" s="67"/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7"/>
      <c r="CQ8" s="67"/>
      <c r="CR8" s="67"/>
      <c r="CS8" s="67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</row>
    <row r="9" spans="1:203" x14ac:dyDescent="0.25">
      <c r="A9" s="67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7"/>
      <c r="DO9" s="67"/>
      <c r="DP9" s="67"/>
      <c r="DQ9" s="67"/>
      <c r="DR9" s="67"/>
      <c r="DS9" s="67"/>
      <c r="DT9" s="67"/>
      <c r="DU9" s="67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</row>
    <row r="10" spans="1:203" x14ac:dyDescent="0.25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7"/>
      <c r="CQ10" s="67"/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/>
      <c r="DS10" s="67"/>
      <c r="DT10" s="67"/>
      <c r="DU10" s="67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</row>
    <row r="11" spans="1:203" x14ac:dyDescent="0.25">
      <c r="A11" s="67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G11" s="67"/>
      <c r="CH11" s="67"/>
      <c r="CI11" s="67"/>
      <c r="CJ11" s="67"/>
      <c r="CK11" s="67"/>
      <c r="CL11" s="67"/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7"/>
      <c r="DG11" s="67"/>
      <c r="DH11" s="67"/>
      <c r="DI11" s="67"/>
      <c r="DJ11" s="67"/>
      <c r="DK11" s="67"/>
      <c r="DL11" s="67"/>
      <c r="DM11" s="67"/>
      <c r="DN11" s="67"/>
      <c r="DO11" s="67"/>
      <c r="DP11" s="67"/>
      <c r="DQ11" s="67"/>
      <c r="DR11" s="67"/>
      <c r="DS11" s="67"/>
      <c r="DT11" s="67"/>
      <c r="DU11" s="67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</row>
    <row r="12" spans="1:203" x14ac:dyDescent="0.25">
      <c r="A12" s="67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67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7"/>
      <c r="DG12" s="67"/>
      <c r="DH12" s="67"/>
      <c r="DI12" s="67"/>
      <c r="DJ12" s="67"/>
      <c r="DK12" s="67"/>
      <c r="DL12" s="67"/>
      <c r="DM12" s="67"/>
      <c r="DN12" s="67"/>
      <c r="DO12" s="67"/>
      <c r="DP12" s="67"/>
      <c r="DQ12" s="67"/>
      <c r="DR12" s="67"/>
      <c r="DS12" s="67"/>
      <c r="DT12" s="67"/>
      <c r="DU12" s="67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</row>
    <row r="13" spans="1:203" x14ac:dyDescent="0.25">
      <c r="A13" s="67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67"/>
      <c r="CI13" s="67"/>
      <c r="CJ13" s="67"/>
      <c r="CK13" s="67"/>
      <c r="CL13" s="67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7"/>
      <c r="DG13" s="67"/>
      <c r="DH13" s="67"/>
      <c r="DI13" s="67"/>
      <c r="DJ13" s="67"/>
      <c r="DK13" s="67"/>
      <c r="DL13" s="67"/>
      <c r="DM13" s="67"/>
      <c r="DN13" s="67"/>
      <c r="DO13" s="67"/>
      <c r="DP13" s="67"/>
      <c r="DQ13" s="67"/>
      <c r="DR13" s="67"/>
      <c r="DS13" s="67"/>
      <c r="DT13" s="67"/>
      <c r="DU13" s="67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</row>
    <row r="14" spans="1:203" x14ac:dyDescent="0.25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7"/>
      <c r="DO14" s="67"/>
      <c r="DP14" s="67"/>
      <c r="DQ14" s="67"/>
      <c r="DR14" s="67"/>
      <c r="DS14" s="67"/>
      <c r="DT14" s="67"/>
      <c r="DU14" s="67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</row>
    <row r="15" spans="1:203" x14ac:dyDescent="0.25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A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7"/>
      <c r="DO15" s="67"/>
      <c r="DP15" s="67"/>
      <c r="DQ15" s="67"/>
      <c r="DR15" s="67"/>
      <c r="DS15" s="67"/>
      <c r="DT15" s="67"/>
      <c r="DU15" s="67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</row>
    <row r="16" spans="1:203" x14ac:dyDescent="0.25">
      <c r="A16" s="67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67"/>
      <c r="CU16" s="67"/>
      <c r="CV16" s="67"/>
      <c r="CW16" s="67"/>
      <c r="CX16" s="67"/>
      <c r="CY16" s="67"/>
      <c r="CZ16" s="67"/>
      <c r="DA16" s="67"/>
      <c r="DB16" s="67"/>
      <c r="DC16" s="67"/>
      <c r="DD16" s="67"/>
      <c r="DE16" s="67"/>
      <c r="DF16" s="67"/>
      <c r="DG16" s="67"/>
      <c r="DH16" s="67"/>
      <c r="DI16" s="67"/>
      <c r="DJ16" s="67"/>
      <c r="DK16" s="67"/>
      <c r="DL16" s="67"/>
      <c r="DM16" s="67"/>
      <c r="DN16" s="67"/>
      <c r="DO16" s="67"/>
      <c r="DP16" s="67"/>
      <c r="DQ16" s="67"/>
      <c r="DR16" s="67"/>
      <c r="DS16" s="67"/>
      <c r="DT16" s="67"/>
      <c r="DU16" s="67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</row>
    <row r="17" spans="1:203" x14ac:dyDescent="0.25">
      <c r="A17" s="67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7"/>
      <c r="DR17" s="67"/>
      <c r="DS17" s="67"/>
      <c r="DT17" s="67"/>
      <c r="DU17" s="67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</row>
    <row r="18" spans="1:203" x14ac:dyDescent="0.25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7"/>
      <c r="CQ18" s="67"/>
      <c r="CR18" s="67"/>
      <c r="CS18" s="67"/>
      <c r="CT18" s="67"/>
      <c r="CU18" s="67"/>
      <c r="CV18" s="67"/>
      <c r="CW18" s="67"/>
      <c r="CX18" s="67"/>
      <c r="CY18" s="67"/>
      <c r="CZ18" s="67"/>
      <c r="DA18" s="67"/>
      <c r="DB18" s="67"/>
      <c r="DC18" s="67"/>
      <c r="DD18" s="67"/>
      <c r="DE18" s="67"/>
      <c r="DF18" s="67"/>
      <c r="DG18" s="67"/>
      <c r="DH18" s="67"/>
      <c r="DI18" s="67"/>
      <c r="DJ18" s="67"/>
      <c r="DK18" s="67"/>
      <c r="DL18" s="67"/>
      <c r="DM18" s="67"/>
      <c r="DN18" s="67"/>
      <c r="DO18" s="67"/>
      <c r="DP18" s="67"/>
      <c r="DQ18" s="67"/>
      <c r="DR18" s="67"/>
      <c r="DS18" s="67"/>
      <c r="DT18" s="67"/>
      <c r="DU18" s="67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</row>
    <row r="19" spans="1:203" x14ac:dyDescent="0.25">
      <c r="A19" s="67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67"/>
      <c r="CV19" s="67"/>
      <c r="CW19" s="67"/>
      <c r="CX19" s="67"/>
      <c r="CY19" s="67"/>
      <c r="CZ19" s="67"/>
      <c r="DA19" s="67"/>
      <c r="DB19" s="67"/>
      <c r="DC19" s="67"/>
      <c r="DD19" s="67"/>
      <c r="DE19" s="67"/>
      <c r="DF19" s="67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7"/>
      <c r="DR19" s="67"/>
      <c r="DS19" s="67"/>
      <c r="DT19" s="67"/>
      <c r="DU19" s="67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</row>
    <row r="20" spans="1:203" x14ac:dyDescent="0.25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72" t="s">
        <v>42</v>
      </c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G20" s="67"/>
      <c r="CH20" s="67"/>
      <c r="CI20" s="67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7"/>
      <c r="CU20" s="67"/>
      <c r="CV20" s="67"/>
      <c r="CW20" s="67"/>
      <c r="CX20" s="67"/>
      <c r="CY20" s="67"/>
      <c r="CZ20" s="67"/>
      <c r="DA20" s="67"/>
      <c r="DB20" s="67"/>
      <c r="DC20" s="67"/>
      <c r="DD20" s="67"/>
      <c r="DE20" s="67"/>
      <c r="DF20" s="67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7"/>
      <c r="DR20" s="67"/>
      <c r="DS20" s="67"/>
      <c r="DT20" s="67"/>
      <c r="DU20" s="67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</row>
    <row r="21" spans="1:203" x14ac:dyDescent="0.25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G21" s="67"/>
      <c r="CH21" s="67"/>
      <c r="CI21" s="67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7"/>
      <c r="CU21" s="67"/>
      <c r="CV21" s="67"/>
      <c r="CW21" s="67"/>
      <c r="CX21" s="67"/>
      <c r="CY21" s="67"/>
      <c r="CZ21" s="67"/>
      <c r="DA21" s="67"/>
      <c r="DB21" s="67"/>
      <c r="DC21" s="67"/>
      <c r="DD21" s="67"/>
      <c r="DE21" s="67"/>
      <c r="DF21" s="67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7"/>
      <c r="DR21" s="67"/>
      <c r="DS21" s="67"/>
      <c r="DT21" s="67"/>
      <c r="DU21" s="67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</row>
    <row r="22" spans="1:203" x14ac:dyDescent="0.25">
      <c r="A22" s="67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G22" s="67"/>
      <c r="CH22" s="67"/>
      <c r="CI22" s="67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7"/>
      <c r="CU22" s="67"/>
      <c r="CV22" s="67"/>
      <c r="CW22" s="67"/>
      <c r="CX22" s="67"/>
      <c r="CY22" s="67"/>
      <c r="CZ22" s="67"/>
      <c r="DA22" s="67"/>
      <c r="DB22" s="67"/>
      <c r="DC22" s="67"/>
      <c r="DD22" s="67"/>
      <c r="DE22" s="67"/>
      <c r="DF22" s="67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7"/>
      <c r="DR22" s="67"/>
      <c r="DS22" s="67"/>
      <c r="DT22" s="67"/>
      <c r="DU22" s="67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</row>
    <row r="23" spans="1:203" x14ac:dyDescent="0.25">
      <c r="A23" s="67"/>
      <c r="B23" s="67"/>
      <c r="C23" s="67"/>
      <c r="D23" s="67"/>
      <c r="E23" s="67"/>
      <c r="F23" s="67"/>
      <c r="G23" s="67"/>
      <c r="H23" s="142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G23" s="67"/>
      <c r="CH23" s="67"/>
      <c r="CI23" s="67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7"/>
      <c r="CU23" s="67"/>
      <c r="CV23" s="67"/>
      <c r="CW23" s="67"/>
      <c r="CX23" s="67"/>
      <c r="CY23" s="67"/>
      <c r="CZ23" s="67"/>
      <c r="DA23" s="67"/>
      <c r="DB23" s="67"/>
      <c r="DC23" s="67"/>
      <c r="DD23" s="67"/>
      <c r="DE23" s="67"/>
      <c r="DF23" s="67"/>
      <c r="DG23" s="67"/>
      <c r="DH23" s="67"/>
      <c r="DI23" s="67"/>
      <c r="DJ23" s="67"/>
      <c r="DK23" s="67"/>
      <c r="DL23" s="67"/>
      <c r="DM23" s="67"/>
      <c r="DN23" s="67"/>
      <c r="DO23" s="67"/>
      <c r="DP23" s="67"/>
      <c r="DQ23" s="67"/>
      <c r="DR23" s="67"/>
      <c r="DS23" s="67"/>
      <c r="DT23" s="67"/>
      <c r="DU23" s="67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</row>
    <row r="24" spans="1:203" x14ac:dyDescent="0.25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G24" s="67"/>
      <c r="CH24" s="67"/>
      <c r="CI24" s="67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7"/>
      <c r="CU24" s="67"/>
      <c r="CV24" s="67"/>
      <c r="CW24" s="67"/>
      <c r="CX24" s="67"/>
      <c r="CY24" s="67"/>
      <c r="CZ24" s="67"/>
      <c r="DA24" s="67"/>
      <c r="DB24" s="67"/>
      <c r="DC24" s="67"/>
      <c r="DD24" s="67"/>
      <c r="DE24" s="67"/>
      <c r="DF24" s="67"/>
      <c r="DG24" s="67"/>
      <c r="DH24" s="67"/>
      <c r="DI24" s="67"/>
      <c r="DJ24" s="67"/>
      <c r="DK24" s="67"/>
      <c r="DL24" s="67"/>
      <c r="DM24" s="67"/>
      <c r="DN24" s="67"/>
      <c r="DO24" s="67"/>
      <c r="DP24" s="67"/>
      <c r="DQ24" s="67"/>
      <c r="DR24" s="67"/>
      <c r="DS24" s="67"/>
      <c r="DT24" s="67"/>
      <c r="DU24" s="67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</row>
    <row r="25" spans="1:203" x14ac:dyDescent="0.25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  <c r="DC25" s="67"/>
      <c r="DD25" s="67"/>
      <c r="DE25" s="67"/>
      <c r="DF25" s="67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7"/>
      <c r="DR25" s="67"/>
      <c r="DS25" s="67"/>
      <c r="DT25" s="67"/>
      <c r="DU25" s="67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</row>
    <row r="26" spans="1:203" x14ac:dyDescent="0.25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G26" s="67"/>
      <c r="CH26" s="67"/>
      <c r="CI26" s="67"/>
      <c r="CJ26" s="67"/>
      <c r="CK26" s="67"/>
      <c r="CL26" s="67"/>
      <c r="CM26" s="67"/>
      <c r="CN26" s="67"/>
      <c r="CO26" s="67"/>
      <c r="CP26" s="67"/>
      <c r="CQ26" s="67"/>
      <c r="CR26" s="67"/>
      <c r="CS26" s="67"/>
      <c r="CT26" s="67"/>
      <c r="CU26" s="67"/>
      <c r="CV26" s="67"/>
      <c r="CW26" s="67"/>
      <c r="CX26" s="67"/>
      <c r="CY26" s="67"/>
      <c r="CZ26" s="67"/>
      <c r="DA26" s="67"/>
      <c r="DB26" s="67"/>
      <c r="DC26" s="67"/>
      <c r="DD26" s="67"/>
      <c r="DE26" s="67"/>
      <c r="DF26" s="67"/>
      <c r="DG26" s="67"/>
      <c r="DH26" s="67"/>
      <c r="DI26" s="67"/>
      <c r="DJ26" s="67"/>
      <c r="DK26" s="67"/>
      <c r="DL26" s="67"/>
      <c r="DM26" s="67"/>
      <c r="DN26" s="67"/>
      <c r="DO26" s="67"/>
      <c r="DP26" s="67"/>
      <c r="DQ26" s="67"/>
      <c r="DR26" s="67"/>
      <c r="DS26" s="67"/>
      <c r="DT26" s="67"/>
      <c r="DU26" s="67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</row>
    <row r="27" spans="1:203" x14ac:dyDescent="0.2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G27" s="67"/>
      <c r="CH27" s="67"/>
      <c r="CI27" s="67"/>
      <c r="CJ27" s="67"/>
      <c r="CK27" s="67"/>
      <c r="CL27" s="67"/>
      <c r="CM27" s="67"/>
      <c r="CN27" s="67"/>
      <c r="CO27" s="67"/>
      <c r="CP27" s="67"/>
      <c r="CQ27" s="67"/>
      <c r="CR27" s="67"/>
      <c r="CS27" s="67"/>
      <c r="CT27" s="67"/>
      <c r="CU27" s="67"/>
      <c r="CV27" s="67"/>
      <c r="CW27" s="67"/>
      <c r="CX27" s="67"/>
      <c r="CY27" s="67"/>
      <c r="CZ27" s="67"/>
      <c r="DA27" s="67"/>
      <c r="DB27" s="67"/>
      <c r="DC27" s="67"/>
      <c r="DD27" s="67"/>
      <c r="DE27" s="67"/>
      <c r="DF27" s="67"/>
      <c r="DG27" s="67"/>
      <c r="DH27" s="67"/>
      <c r="DI27" s="67"/>
      <c r="DJ27" s="67"/>
      <c r="DK27" s="67"/>
      <c r="DL27" s="67"/>
      <c r="DM27" s="67"/>
      <c r="DN27" s="67"/>
      <c r="DO27" s="67"/>
      <c r="DP27" s="67"/>
      <c r="DQ27" s="67"/>
      <c r="DR27" s="67"/>
      <c r="DS27" s="67"/>
      <c r="DT27" s="67"/>
      <c r="DU27" s="67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</row>
    <row r="28" spans="1:203" x14ac:dyDescent="0.25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  <c r="DL28" s="67"/>
      <c r="DM28" s="67"/>
      <c r="DN28" s="67"/>
      <c r="DO28" s="67"/>
      <c r="DP28" s="67"/>
      <c r="DQ28" s="67"/>
      <c r="DR28" s="67"/>
      <c r="DS28" s="67"/>
      <c r="DT28" s="67"/>
      <c r="DU28" s="67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</row>
    <row r="29" spans="1:203" x14ac:dyDescent="0.25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G29" s="67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67"/>
      <c r="CV29" s="67"/>
      <c r="CW29" s="67"/>
      <c r="CX29" s="67"/>
      <c r="CY29" s="67"/>
      <c r="CZ29" s="67"/>
      <c r="DA29" s="67"/>
      <c r="DB29" s="67"/>
      <c r="DC29" s="67"/>
      <c r="DD29" s="67"/>
      <c r="DE29" s="67"/>
      <c r="DF29" s="67"/>
      <c r="DG29" s="67"/>
      <c r="DH29" s="67"/>
      <c r="DI29" s="67"/>
      <c r="DJ29" s="67"/>
      <c r="DK29" s="67"/>
      <c r="DL29" s="67"/>
      <c r="DM29" s="67"/>
      <c r="DN29" s="67"/>
      <c r="DO29" s="67"/>
      <c r="DP29" s="67"/>
      <c r="DQ29" s="67"/>
      <c r="DR29" s="67"/>
      <c r="DS29" s="67"/>
      <c r="DT29" s="67"/>
      <c r="DU29" s="67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</row>
    <row r="30" spans="1:203" x14ac:dyDescent="0.25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G30" s="67"/>
      <c r="CH30" s="67"/>
      <c r="CI30" s="67"/>
      <c r="CJ30" s="67"/>
      <c r="CK30" s="67"/>
      <c r="CL30" s="67"/>
      <c r="CM30" s="67"/>
      <c r="CN30" s="67"/>
      <c r="CO30" s="67"/>
      <c r="CP30" s="67"/>
      <c r="CQ30" s="67"/>
      <c r="CR30" s="67"/>
      <c r="CS30" s="67"/>
      <c r="CT30" s="67"/>
      <c r="CU30" s="67"/>
      <c r="CV30" s="67"/>
      <c r="CW30" s="67"/>
      <c r="CX30" s="67"/>
      <c r="CY30" s="67"/>
      <c r="CZ30" s="67"/>
      <c r="DA30" s="67"/>
      <c r="DB30" s="67"/>
      <c r="DC30" s="67"/>
      <c r="DD30" s="67"/>
      <c r="DE30" s="67"/>
      <c r="DF30" s="67"/>
      <c r="DG30" s="67"/>
      <c r="DH30" s="67"/>
      <c r="DI30" s="67"/>
      <c r="DJ30" s="67"/>
      <c r="DK30" s="67"/>
      <c r="DL30" s="67"/>
      <c r="DM30" s="67"/>
      <c r="DN30" s="67"/>
      <c r="DO30" s="67"/>
      <c r="DP30" s="67"/>
      <c r="DQ30" s="67"/>
      <c r="DR30" s="67"/>
      <c r="DS30" s="67"/>
      <c r="DT30" s="67"/>
      <c r="DU30" s="67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</row>
    <row r="31" spans="1:203" x14ac:dyDescent="0.25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G31" s="67"/>
      <c r="CH31" s="67"/>
      <c r="CI31" s="67"/>
      <c r="CJ31" s="67"/>
      <c r="CK31" s="67"/>
      <c r="CL31" s="67"/>
      <c r="CM31" s="67"/>
      <c r="CN31" s="67"/>
      <c r="CO31" s="67"/>
      <c r="CP31" s="67"/>
      <c r="CQ31" s="67"/>
      <c r="CR31" s="67"/>
      <c r="CS31" s="67"/>
      <c r="CT31" s="67"/>
      <c r="CU31" s="67"/>
      <c r="CV31" s="67"/>
      <c r="CW31" s="67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/>
      <c r="DS31" s="67"/>
      <c r="DT31" s="67"/>
      <c r="DU31" s="67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</row>
    <row r="32" spans="1:203" x14ac:dyDescent="0.25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/>
      <c r="CS32" s="67"/>
      <c r="CT32" s="67"/>
      <c r="CU32" s="67"/>
      <c r="CV32" s="67"/>
      <c r="CW32" s="67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</row>
    <row r="33" spans="1:203" x14ac:dyDescent="0.25">
      <c r="A33" s="67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/>
      <c r="DS33" s="67"/>
      <c r="DT33" s="67"/>
      <c r="DU33" s="67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</row>
    <row r="34" spans="1:203" x14ac:dyDescent="0.25">
      <c r="A34" s="67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  <c r="DC34" s="67"/>
      <c r="DD34" s="67"/>
      <c r="DE34" s="67"/>
      <c r="DF34" s="67"/>
      <c r="DG34" s="67"/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</row>
    <row r="35" spans="1:203" x14ac:dyDescent="0.25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  <c r="DC35" s="67"/>
      <c r="DD35" s="67"/>
      <c r="DE35" s="67"/>
      <c r="DF35" s="67"/>
      <c r="DG35" s="67"/>
      <c r="DH35" s="67"/>
      <c r="DI35" s="67"/>
      <c r="DJ35" s="67"/>
      <c r="DK35" s="67"/>
      <c r="DL35" s="67"/>
      <c r="DM35" s="67"/>
      <c r="DN35" s="67"/>
      <c r="DO35" s="67"/>
      <c r="DP35" s="67"/>
      <c r="DQ35" s="67"/>
      <c r="DR35" s="67"/>
      <c r="DS35" s="67"/>
      <c r="DT35" s="67"/>
      <c r="DU35" s="67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</row>
    <row r="36" spans="1:203" x14ac:dyDescent="0.25">
      <c r="A36" s="67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G36" s="67"/>
      <c r="CH36" s="67"/>
      <c r="CI36" s="67"/>
      <c r="CJ36" s="67"/>
      <c r="CK36" s="67"/>
      <c r="CL36" s="67"/>
      <c r="CM36" s="67"/>
      <c r="CN36" s="67"/>
      <c r="CO36" s="67"/>
      <c r="CP36" s="67"/>
      <c r="CQ36" s="67"/>
      <c r="CR36" s="67"/>
      <c r="CS36" s="67"/>
      <c r="CT36" s="67"/>
      <c r="CU36" s="67"/>
      <c r="CV36" s="67"/>
      <c r="CW36" s="67"/>
      <c r="CX36" s="67"/>
      <c r="CY36" s="67"/>
      <c r="CZ36" s="67"/>
      <c r="DA36" s="67"/>
      <c r="DB36" s="67"/>
      <c r="DC36" s="67"/>
      <c r="DD36" s="67"/>
      <c r="DE36" s="67"/>
      <c r="DF36" s="67"/>
      <c r="DG36" s="67"/>
      <c r="DH36" s="67"/>
      <c r="DI36" s="67"/>
      <c r="DJ36" s="67"/>
      <c r="DK36" s="67"/>
      <c r="DL36" s="67"/>
      <c r="DM36" s="67"/>
      <c r="DN36" s="67"/>
      <c r="DO36" s="67"/>
      <c r="DP36" s="67"/>
      <c r="DQ36" s="67"/>
      <c r="DR36" s="67"/>
      <c r="DS36" s="67"/>
      <c r="DT36" s="67"/>
      <c r="DU36" s="67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</row>
    <row r="37" spans="1:203" x14ac:dyDescent="0.25">
      <c r="A37" s="67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  <c r="DC37" s="67"/>
      <c r="DD37" s="67"/>
      <c r="DE37" s="67"/>
      <c r="DF37" s="67"/>
      <c r="DG37" s="67"/>
      <c r="DH37" s="67"/>
      <c r="DI37" s="67"/>
      <c r="DJ37" s="67"/>
      <c r="DK37" s="67"/>
      <c r="DL37" s="67"/>
      <c r="DM37" s="67"/>
      <c r="DN37" s="67"/>
      <c r="DO37" s="67"/>
      <c r="DP37" s="67"/>
      <c r="DQ37" s="67"/>
      <c r="DR37" s="67"/>
      <c r="DS37" s="67"/>
      <c r="DT37" s="67"/>
      <c r="DU37" s="67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</row>
    <row r="38" spans="1:203" x14ac:dyDescent="0.25">
      <c r="A38" s="67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  <c r="BN38" s="67"/>
      <c r="BO38" s="67"/>
      <c r="BP38" s="67"/>
      <c r="BQ38" s="67"/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7"/>
      <c r="CW38" s="67"/>
      <c r="CX38" s="67"/>
      <c r="CY38" s="67"/>
      <c r="CZ38" s="67"/>
      <c r="DA38" s="67"/>
      <c r="DB38" s="67"/>
      <c r="DC38" s="67"/>
      <c r="DD38" s="67"/>
      <c r="DE38" s="67"/>
      <c r="DF38" s="67"/>
      <c r="DG38" s="67"/>
      <c r="DH38" s="67"/>
      <c r="DI38" s="67"/>
      <c r="DJ38" s="67"/>
      <c r="DK38" s="67"/>
      <c r="DL38" s="67"/>
      <c r="DM38" s="67"/>
      <c r="DN38" s="67"/>
      <c r="DO38" s="67"/>
      <c r="DP38" s="67"/>
      <c r="DQ38" s="67"/>
      <c r="DR38" s="67"/>
      <c r="DS38" s="67"/>
      <c r="DT38" s="67"/>
      <c r="DU38" s="67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</row>
    <row r="39" spans="1:203" x14ac:dyDescent="0.25">
      <c r="A39" s="67"/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7"/>
      <c r="CW39" s="67"/>
      <c r="CX39" s="67"/>
      <c r="CY39" s="67"/>
      <c r="CZ39" s="67"/>
      <c r="DA39" s="67"/>
      <c r="DB39" s="67"/>
      <c r="DC39" s="67"/>
      <c r="DD39" s="67"/>
      <c r="DE39" s="67"/>
      <c r="DF39" s="67"/>
      <c r="DG39" s="67"/>
      <c r="DH39" s="67"/>
      <c r="DI39" s="67"/>
      <c r="DJ39" s="67"/>
      <c r="DK39" s="67"/>
      <c r="DL39" s="67"/>
      <c r="DM39" s="67"/>
      <c r="DN39" s="67"/>
      <c r="DO39" s="67"/>
      <c r="DP39" s="67"/>
      <c r="DQ39" s="67"/>
      <c r="DR39" s="67"/>
      <c r="DS39" s="67"/>
      <c r="DT39" s="67"/>
      <c r="DU39" s="67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</row>
    <row r="40" spans="1:203" x14ac:dyDescent="0.25">
      <c r="A40" s="67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/>
      <c r="CM40" s="67"/>
      <c r="CN40" s="67"/>
      <c r="CO40" s="67"/>
      <c r="CP40" s="67"/>
      <c r="CQ40" s="67"/>
      <c r="CR40" s="67"/>
      <c r="CS40" s="67"/>
      <c r="CT40" s="67"/>
      <c r="CU40" s="67"/>
      <c r="CV40" s="67"/>
      <c r="CW40" s="67"/>
      <c r="CX40" s="67"/>
      <c r="CY40" s="67"/>
      <c r="CZ40" s="67"/>
      <c r="DA40" s="67"/>
      <c r="DB40" s="67"/>
      <c r="DC40" s="67"/>
      <c r="DD40" s="67"/>
      <c r="DE40" s="67"/>
      <c r="DF40" s="67"/>
      <c r="DG40" s="67"/>
      <c r="DH40" s="67"/>
      <c r="DI40" s="67"/>
      <c r="DJ40" s="67"/>
      <c r="DK40" s="67"/>
      <c r="DL40" s="67"/>
      <c r="DM40" s="67"/>
      <c r="DN40" s="67"/>
      <c r="DO40" s="67"/>
      <c r="DP40" s="67"/>
      <c r="DQ40" s="67"/>
      <c r="DR40" s="67"/>
      <c r="DS40" s="67"/>
      <c r="DT40" s="67"/>
      <c r="DU40" s="67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</row>
    <row r="41" spans="1:203" x14ac:dyDescent="0.25">
      <c r="A41" s="67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7"/>
      <c r="CQ41" s="67"/>
      <c r="CR41" s="67"/>
      <c r="CS41" s="67"/>
      <c r="CT41" s="67"/>
      <c r="CU41" s="67"/>
      <c r="CV41" s="67"/>
      <c r="CW41" s="67"/>
      <c r="CX41" s="67"/>
      <c r="CY41" s="67"/>
      <c r="CZ41" s="67"/>
      <c r="DA41" s="67"/>
      <c r="DB41" s="67"/>
      <c r="DC41" s="67"/>
      <c r="DD41" s="67"/>
      <c r="DE41" s="67"/>
      <c r="DF41" s="67"/>
      <c r="DG41" s="67"/>
      <c r="DH41" s="67"/>
      <c r="DI41" s="67"/>
      <c r="DJ41" s="67"/>
      <c r="DK41" s="67"/>
      <c r="DL41" s="67"/>
      <c r="DM41" s="67"/>
      <c r="DN41" s="67"/>
      <c r="DO41" s="67"/>
      <c r="DP41" s="67"/>
      <c r="DQ41" s="67"/>
      <c r="DR41" s="67"/>
      <c r="DS41" s="67"/>
      <c r="DT41" s="67"/>
      <c r="DU41" s="67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</row>
    <row r="42" spans="1:203" x14ac:dyDescent="0.25">
      <c r="A42" s="67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  <c r="BI42" s="67"/>
      <c r="BJ42" s="67"/>
      <c r="BK42" s="67"/>
      <c r="BL42" s="67"/>
      <c r="BM42" s="67"/>
      <c r="BN42" s="67"/>
      <c r="BO42" s="67"/>
      <c r="BP42" s="67"/>
      <c r="BQ42" s="67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G42" s="67"/>
      <c r="CH42" s="67"/>
      <c r="CI42" s="67"/>
      <c r="CJ42" s="67"/>
      <c r="CK42" s="67"/>
      <c r="CL42" s="67"/>
      <c r="CM42" s="67"/>
      <c r="CN42" s="67"/>
      <c r="CO42" s="67"/>
      <c r="CP42" s="67"/>
      <c r="CQ42" s="67"/>
      <c r="CR42" s="67"/>
      <c r="CS42" s="67"/>
      <c r="CT42" s="67"/>
      <c r="CU42" s="67"/>
      <c r="CV42" s="67"/>
      <c r="CW42" s="67"/>
      <c r="CX42" s="67"/>
      <c r="CY42" s="67"/>
      <c r="CZ42" s="67"/>
      <c r="DA42" s="67"/>
      <c r="DB42" s="67"/>
      <c r="DC42" s="67"/>
      <c r="DD42" s="67"/>
      <c r="DE42" s="67"/>
      <c r="DF42" s="67"/>
      <c r="DG42" s="67"/>
      <c r="DH42" s="67"/>
      <c r="DI42" s="67"/>
      <c r="DJ42" s="67"/>
      <c r="DK42" s="67"/>
      <c r="DL42" s="67"/>
      <c r="DM42" s="67"/>
      <c r="DN42" s="67"/>
      <c r="DO42" s="67"/>
      <c r="DP42" s="67"/>
      <c r="DQ42" s="67"/>
      <c r="DR42" s="67"/>
      <c r="DS42" s="67"/>
      <c r="DT42" s="67"/>
      <c r="DU42" s="67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</row>
    <row r="43" spans="1:203" x14ac:dyDescent="0.25">
      <c r="A43" s="67"/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  <c r="BK43" s="67"/>
      <c r="BL43" s="67"/>
      <c r="BM43" s="67"/>
      <c r="BN43" s="67"/>
      <c r="BO43" s="67"/>
      <c r="BP43" s="67"/>
      <c r="BQ43" s="67"/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G43" s="67"/>
      <c r="CH43" s="67"/>
      <c r="CI43" s="67"/>
      <c r="CJ43" s="67"/>
      <c r="CK43" s="67"/>
      <c r="CL43" s="67"/>
      <c r="CM43" s="67"/>
      <c r="CN43" s="67"/>
      <c r="CO43" s="67"/>
      <c r="CP43" s="67"/>
      <c r="CQ43" s="67"/>
      <c r="CR43" s="67"/>
      <c r="CS43" s="67"/>
      <c r="CT43" s="67"/>
      <c r="CU43" s="67"/>
      <c r="CV43" s="67"/>
      <c r="CW43" s="67"/>
      <c r="CX43" s="67"/>
      <c r="CY43" s="67"/>
      <c r="CZ43" s="67"/>
      <c r="DA43" s="67"/>
      <c r="DB43" s="67"/>
      <c r="DC43" s="67"/>
      <c r="DD43" s="67"/>
      <c r="DE43" s="67"/>
      <c r="DF43" s="67"/>
      <c r="DG43" s="67"/>
      <c r="DH43" s="67"/>
      <c r="DI43" s="67"/>
      <c r="DJ43" s="67"/>
      <c r="DK43" s="67"/>
      <c r="DL43" s="67"/>
      <c r="DM43" s="67"/>
      <c r="DN43" s="67"/>
      <c r="DO43" s="67"/>
      <c r="DP43" s="67"/>
      <c r="DQ43" s="67"/>
      <c r="DR43" s="67"/>
      <c r="DS43" s="67"/>
      <c r="DT43" s="67"/>
      <c r="DU43" s="67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</row>
    <row r="44" spans="1:203" x14ac:dyDescent="0.25">
      <c r="A44" s="67"/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G44" s="67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  <c r="DA44" s="67"/>
      <c r="DB44" s="67"/>
      <c r="DC44" s="67"/>
      <c r="DD44" s="67"/>
      <c r="DE44" s="67"/>
      <c r="DF44" s="67"/>
      <c r="DG44" s="67"/>
      <c r="DH44" s="67"/>
      <c r="DI44" s="67"/>
      <c r="DJ44" s="67"/>
      <c r="DK44" s="67"/>
      <c r="DL44" s="67"/>
      <c r="DM44" s="67"/>
      <c r="DN44" s="67"/>
      <c r="DO44" s="67"/>
      <c r="DP44" s="67"/>
      <c r="DQ44" s="67"/>
      <c r="DR44" s="67"/>
      <c r="DS44" s="67"/>
      <c r="DT44" s="67"/>
      <c r="DU44" s="67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</row>
    <row r="45" spans="1:203" x14ac:dyDescent="0.25">
      <c r="A45" s="67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67"/>
      <c r="CM45" s="67"/>
      <c r="CN45" s="67"/>
      <c r="CO45" s="67"/>
      <c r="CP45" s="67"/>
      <c r="CQ45" s="67"/>
      <c r="CR45" s="67"/>
      <c r="CS45" s="67"/>
      <c r="CT45" s="67"/>
      <c r="CU45" s="67"/>
      <c r="CV45" s="67"/>
      <c r="CW45" s="67"/>
      <c r="CX45" s="67"/>
      <c r="CY45" s="67"/>
      <c r="CZ45" s="67"/>
      <c r="DA45" s="67"/>
      <c r="DB45" s="67"/>
      <c r="DC45" s="67"/>
      <c r="DD45" s="67"/>
      <c r="DE45" s="67"/>
      <c r="DF45" s="67"/>
      <c r="DG45" s="67"/>
      <c r="DH45" s="67"/>
      <c r="DI45" s="67"/>
      <c r="DJ45" s="67"/>
      <c r="DK45" s="67"/>
      <c r="DL45" s="67"/>
      <c r="DM45" s="67"/>
      <c r="DN45" s="67"/>
      <c r="DO45" s="67"/>
      <c r="DP45" s="67"/>
      <c r="DQ45" s="67"/>
      <c r="DR45" s="67"/>
      <c r="DS45" s="67"/>
      <c r="DT45" s="67"/>
      <c r="DU45" s="67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</row>
    <row r="46" spans="1:203" x14ac:dyDescent="0.25">
      <c r="A46" s="67"/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  <c r="CP46" s="67"/>
      <c r="CQ46" s="67"/>
      <c r="CR46" s="67"/>
      <c r="CS46" s="67"/>
      <c r="CT46" s="67"/>
      <c r="CU46" s="67"/>
      <c r="CV46" s="67"/>
      <c r="CW46" s="67"/>
      <c r="CX46" s="67"/>
      <c r="CY46" s="67"/>
      <c r="CZ46" s="67"/>
      <c r="DA46" s="67"/>
      <c r="DB46" s="67"/>
      <c r="DC46" s="67"/>
      <c r="DD46" s="67"/>
      <c r="DE46" s="67"/>
      <c r="DF46" s="67"/>
      <c r="DG46" s="67"/>
      <c r="DH46" s="67"/>
      <c r="DI46" s="67"/>
      <c r="DJ46" s="67"/>
      <c r="DK46" s="67"/>
      <c r="DL46" s="67"/>
      <c r="DM46" s="67"/>
      <c r="DN46" s="67"/>
      <c r="DO46" s="67"/>
      <c r="DP46" s="67"/>
      <c r="DQ46" s="67"/>
      <c r="DR46" s="67"/>
      <c r="DS46" s="67"/>
      <c r="DT46" s="67"/>
      <c r="DU46" s="67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</row>
    <row r="47" spans="1:203" x14ac:dyDescent="0.25">
      <c r="A47" s="67"/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/>
      <c r="DS47" s="67"/>
      <c r="DT47" s="67"/>
      <c r="DU47" s="67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</row>
    <row r="48" spans="1:203" x14ac:dyDescent="0.25">
      <c r="A48" s="67"/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  <c r="DC48" s="67"/>
      <c r="DD48" s="67"/>
      <c r="DE48" s="67"/>
      <c r="DF48" s="67"/>
      <c r="DG48" s="67"/>
      <c r="DH48" s="67"/>
      <c r="DI48" s="67"/>
      <c r="DJ48" s="67"/>
      <c r="DK48" s="67"/>
      <c r="DL48" s="67"/>
      <c r="DM48" s="67"/>
      <c r="DN48" s="67"/>
      <c r="DO48" s="67"/>
      <c r="DP48" s="67"/>
      <c r="DQ48" s="67"/>
      <c r="DR48" s="67"/>
      <c r="DS48" s="67"/>
      <c r="DT48" s="67"/>
      <c r="DU48" s="67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</row>
    <row r="49" spans="1:194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  <c r="CX49" s="67"/>
      <c r="CY49" s="67"/>
      <c r="CZ49" s="67"/>
      <c r="DA49" s="67"/>
      <c r="DB49" s="67"/>
      <c r="DC49" s="67"/>
      <c r="DD49" s="67"/>
      <c r="DE49" s="67"/>
      <c r="DF49" s="67"/>
      <c r="DG49" s="67"/>
      <c r="DH49" s="67"/>
      <c r="DI49" s="67"/>
      <c r="DJ49" s="67"/>
      <c r="DK49" s="67"/>
      <c r="DL49" s="67"/>
      <c r="DM49" s="67"/>
      <c r="DN49" s="67"/>
      <c r="DO49" s="67"/>
      <c r="DP49" s="67"/>
      <c r="DQ49" s="67"/>
      <c r="DR49" s="67"/>
      <c r="DS49" s="67"/>
      <c r="DT49" s="67"/>
      <c r="DU49" s="67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</row>
    <row r="50" spans="1:194" x14ac:dyDescent="0.25">
      <c r="A50" s="67"/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  <c r="DA50" s="67"/>
      <c r="DB50" s="67"/>
      <c r="DC50" s="67"/>
      <c r="DD50" s="67"/>
      <c r="DE50" s="67"/>
      <c r="DF50" s="67"/>
      <c r="DG50" s="67"/>
      <c r="DH50" s="67"/>
      <c r="DI50" s="67"/>
      <c r="DJ50" s="67"/>
      <c r="DK50" s="67"/>
      <c r="DL50" s="67"/>
      <c r="DM50" s="67"/>
      <c r="DN50" s="67"/>
      <c r="DO50" s="67"/>
      <c r="DP50" s="67"/>
      <c r="DQ50" s="67"/>
      <c r="DR50" s="67"/>
      <c r="DS50" s="67"/>
      <c r="DT50" s="67"/>
      <c r="DU50" s="67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</row>
    <row r="51" spans="1:194" x14ac:dyDescent="0.25">
      <c r="A51" s="67"/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</row>
    <row r="52" spans="1:194" x14ac:dyDescent="0.25">
      <c r="A52" s="67"/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/>
      <c r="DC52" s="67"/>
      <c r="DD52" s="67"/>
      <c r="DE52" s="67"/>
      <c r="DF52" s="67"/>
      <c r="DG52" s="67"/>
      <c r="DH52" s="67"/>
      <c r="DI52" s="67"/>
      <c r="DJ52" s="67"/>
      <c r="DK52" s="67"/>
      <c r="DL52" s="67"/>
      <c r="DM52" s="67"/>
      <c r="DN52" s="67"/>
      <c r="DO52" s="67"/>
      <c r="DP52" s="67"/>
      <c r="DQ52" s="67"/>
      <c r="DR52" s="67"/>
      <c r="DS52" s="67"/>
      <c r="DT52" s="67"/>
      <c r="DU52" s="67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</row>
    <row r="53" spans="1:194" x14ac:dyDescent="0.25">
      <c r="A53" s="67"/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</row>
    <row r="54" spans="1:194" x14ac:dyDescent="0.25">
      <c r="A54" s="67"/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  <c r="DB54" s="67"/>
      <c r="DC54" s="67"/>
      <c r="DD54" s="67"/>
      <c r="DE54" s="67"/>
      <c r="DF54" s="67"/>
      <c r="DG54" s="67"/>
      <c r="DH54" s="67"/>
      <c r="DI54" s="67"/>
      <c r="DJ54" s="67"/>
      <c r="DK54" s="67"/>
      <c r="DL54" s="67"/>
      <c r="DM54" s="67"/>
      <c r="DN54" s="67"/>
      <c r="DO54" s="67"/>
      <c r="DP54" s="67"/>
      <c r="DQ54" s="67"/>
      <c r="DR54" s="67"/>
      <c r="DS54" s="67"/>
      <c r="DT54" s="67"/>
      <c r="DU54" s="67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</row>
    <row r="55" spans="1:194" x14ac:dyDescent="0.25">
      <c r="A55" s="67"/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</row>
    <row r="56" spans="1:194" x14ac:dyDescent="0.25">
      <c r="A56" s="67"/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G56" s="67"/>
      <c r="CH56" s="67"/>
      <c r="CI56" s="67"/>
      <c r="CJ56" s="67"/>
      <c r="CK56" s="67"/>
      <c r="CL56" s="67"/>
      <c r="CM56" s="67"/>
      <c r="CN56" s="67"/>
      <c r="CO56" s="67"/>
      <c r="CP56" s="67"/>
      <c r="CQ56" s="67"/>
      <c r="CR56" s="67"/>
      <c r="CS56" s="67"/>
      <c r="CT56" s="67"/>
      <c r="CU56" s="67"/>
      <c r="CV56" s="67"/>
      <c r="CW56" s="67"/>
      <c r="CX56" s="67"/>
      <c r="CY56" s="67"/>
      <c r="CZ56" s="67"/>
      <c r="DA56" s="67"/>
      <c r="DB56" s="67"/>
      <c r="DC56" s="67"/>
      <c r="DD56" s="67"/>
      <c r="DE56" s="67"/>
      <c r="DF56" s="67"/>
      <c r="DG56" s="67"/>
      <c r="DH56" s="67"/>
      <c r="DI56" s="67"/>
      <c r="DJ56" s="67"/>
      <c r="DK56" s="67"/>
      <c r="DL56" s="67"/>
      <c r="DM56" s="67"/>
      <c r="DN56" s="67"/>
      <c r="DO56" s="67"/>
      <c r="DP56" s="67"/>
      <c r="DQ56" s="67"/>
      <c r="DR56" s="67"/>
      <c r="DS56" s="67"/>
      <c r="DT56" s="67"/>
      <c r="DU56" s="67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</row>
    <row r="57" spans="1:194" x14ac:dyDescent="0.25">
      <c r="A57" s="67"/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</row>
    <row r="58" spans="1:194" x14ac:dyDescent="0.25">
      <c r="A58" s="67"/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  <c r="DC58" s="67"/>
      <c r="DD58" s="67"/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/>
      <c r="DS58" s="67"/>
      <c r="DT58" s="67"/>
      <c r="DU58" s="67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</row>
    <row r="59" spans="1:194" x14ac:dyDescent="0.25">
      <c r="A59" s="67"/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</row>
    <row r="60" spans="1:194" x14ac:dyDescent="0.25">
      <c r="A60" s="67"/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</row>
    <row r="61" spans="1:194" x14ac:dyDescent="0.25">
      <c r="A61" s="67"/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</row>
    <row r="62" spans="1:194" x14ac:dyDescent="0.25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/>
      <c r="DS62" s="67"/>
      <c r="DT62" s="67"/>
      <c r="DU62" s="67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</row>
    <row r="63" spans="1:194" x14ac:dyDescent="0.25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</row>
    <row r="64" spans="1:194" x14ac:dyDescent="0.25">
      <c r="A64" s="67"/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G64" s="67"/>
      <c r="CH64" s="67"/>
      <c r="CI64" s="67"/>
      <c r="CJ64" s="67"/>
      <c r="CK64" s="67"/>
      <c r="CL64" s="67"/>
      <c r="CM64" s="67"/>
      <c r="CN64" s="67"/>
      <c r="CO64" s="67"/>
      <c r="CP64" s="67"/>
      <c r="CQ64" s="67"/>
      <c r="CR64" s="67"/>
      <c r="CS64" s="67"/>
      <c r="CT64" s="67"/>
      <c r="CU64" s="67"/>
      <c r="CV64" s="67"/>
      <c r="CW64" s="67"/>
      <c r="CX64" s="67"/>
      <c r="CY64" s="67"/>
      <c r="CZ64" s="67"/>
      <c r="DA64" s="67"/>
      <c r="DB64" s="67"/>
      <c r="DC64" s="67"/>
      <c r="DD64" s="67"/>
      <c r="DE64" s="67"/>
      <c r="DF64" s="67"/>
      <c r="DG64" s="67"/>
      <c r="DH64" s="67"/>
      <c r="DI64" s="67"/>
      <c r="DJ64" s="67"/>
      <c r="DK64" s="67"/>
      <c r="DL64" s="67"/>
      <c r="DM64" s="67"/>
      <c r="DN64" s="67"/>
      <c r="DO64" s="67"/>
      <c r="DP64" s="67"/>
      <c r="DQ64" s="67"/>
      <c r="DR64" s="67"/>
      <c r="DS64" s="67"/>
      <c r="DT64" s="67"/>
      <c r="DU64" s="67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</row>
    <row r="65" spans="1:194" x14ac:dyDescent="0.25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  <c r="DC65" s="67"/>
      <c r="DD65" s="67"/>
      <c r="DE65" s="67"/>
      <c r="DF65" s="67"/>
      <c r="DG65" s="67"/>
      <c r="DH65" s="67"/>
      <c r="DI65" s="67"/>
      <c r="DJ65" s="67"/>
      <c r="DK65" s="67"/>
      <c r="DL65" s="67"/>
      <c r="DM65" s="67"/>
      <c r="DN65" s="67"/>
      <c r="DO65" s="67"/>
      <c r="DP65" s="67"/>
      <c r="DQ65" s="67"/>
      <c r="DR65" s="67"/>
      <c r="DS65" s="67"/>
      <c r="DT65" s="67"/>
      <c r="DU65" s="67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</row>
    <row r="66" spans="1:194" x14ac:dyDescent="0.25">
      <c r="A66" s="67"/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  <c r="DC66" s="67"/>
      <c r="DD66" s="67"/>
      <c r="DE66" s="67"/>
      <c r="DF66" s="67"/>
      <c r="DG66" s="67"/>
      <c r="DH66" s="67"/>
      <c r="DI66" s="67"/>
      <c r="DJ66" s="67"/>
      <c r="DK66" s="67"/>
      <c r="DL66" s="67"/>
      <c r="DM66" s="67"/>
      <c r="DN66" s="67"/>
      <c r="DO66" s="67"/>
      <c r="DP66" s="67"/>
      <c r="DQ66" s="67"/>
      <c r="DR66" s="67"/>
      <c r="DS66" s="67"/>
      <c r="DT66" s="67"/>
      <c r="DU66" s="67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</row>
    <row r="67" spans="1:194" x14ac:dyDescent="0.25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  <c r="DB67" s="67"/>
      <c r="DC67" s="67"/>
      <c r="DD67" s="67"/>
      <c r="DE67" s="67"/>
      <c r="DF67" s="67"/>
      <c r="DG67" s="67"/>
      <c r="DH67" s="67"/>
      <c r="DI67" s="67"/>
      <c r="DJ67" s="67"/>
      <c r="DK67" s="67"/>
      <c r="DL67" s="67"/>
      <c r="DM67" s="67"/>
      <c r="DN67" s="67"/>
      <c r="DO67" s="67"/>
      <c r="DP67" s="67"/>
      <c r="DQ67" s="67"/>
      <c r="DR67" s="67"/>
      <c r="DS67" s="67"/>
      <c r="DT67" s="67"/>
      <c r="DU67" s="67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</row>
    <row r="68" spans="1:194" x14ac:dyDescent="0.25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  <c r="DB68" s="67"/>
      <c r="DC68" s="67"/>
      <c r="DD68" s="67"/>
      <c r="DE68" s="67"/>
      <c r="DF68" s="67"/>
      <c r="DG68" s="67"/>
      <c r="DH68" s="67"/>
      <c r="DI68" s="67"/>
      <c r="DJ68" s="67"/>
      <c r="DK68" s="67"/>
      <c r="DL68" s="67"/>
      <c r="DM68" s="67"/>
      <c r="DN68" s="67"/>
      <c r="DO68" s="67"/>
      <c r="DP68" s="67"/>
      <c r="DQ68" s="67"/>
      <c r="DR68" s="67"/>
      <c r="DS68" s="67"/>
      <c r="DT68" s="67"/>
      <c r="DU68" s="67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</row>
    <row r="69" spans="1:194" x14ac:dyDescent="0.25">
      <c r="A69" s="67"/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  <c r="DA69" s="67"/>
      <c r="DB69" s="67"/>
      <c r="DC69" s="67"/>
      <c r="DD69" s="67"/>
      <c r="DE69" s="67"/>
      <c r="DF69" s="67"/>
      <c r="DG69" s="67"/>
      <c r="DH69" s="67"/>
      <c r="DI69" s="67"/>
      <c r="DJ69" s="67"/>
      <c r="DK69" s="67"/>
      <c r="DL69" s="67"/>
      <c r="DM69" s="67"/>
      <c r="DN69" s="67"/>
      <c r="DO69" s="67"/>
      <c r="DP69" s="67"/>
      <c r="DQ69" s="67"/>
      <c r="DR69" s="67"/>
      <c r="DS69" s="67"/>
      <c r="DT69" s="67"/>
      <c r="DU69" s="67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</row>
    <row r="70" spans="1:194" x14ac:dyDescent="0.25">
      <c r="A70" s="67"/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G70" s="67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  <c r="DA70" s="67"/>
      <c r="DB70" s="67"/>
      <c r="DC70" s="67"/>
      <c r="DD70" s="67"/>
      <c r="DE70" s="67"/>
      <c r="DF70" s="67"/>
      <c r="DG70" s="67"/>
      <c r="DH70" s="67"/>
      <c r="DI70" s="67"/>
      <c r="DJ70" s="67"/>
      <c r="DK70" s="67"/>
      <c r="DL70" s="67"/>
      <c r="DM70" s="67"/>
      <c r="DN70" s="67"/>
      <c r="DO70" s="67"/>
      <c r="DP70" s="67"/>
      <c r="DQ70" s="67"/>
      <c r="DR70" s="67"/>
      <c r="DS70" s="67"/>
      <c r="DT70" s="67"/>
      <c r="DU70" s="67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</row>
    <row r="71" spans="1:194" x14ac:dyDescent="0.25">
      <c r="A71" s="67"/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  <c r="CR71" s="67"/>
      <c r="CS71" s="67"/>
      <c r="CT71" s="67"/>
      <c r="CU71" s="67"/>
      <c r="CV71" s="67"/>
      <c r="CW71" s="67"/>
      <c r="CX71" s="67"/>
      <c r="CY71" s="67"/>
      <c r="CZ71" s="67"/>
      <c r="DA71" s="67"/>
      <c r="DB71" s="67"/>
      <c r="DC71" s="67"/>
      <c r="DD71" s="67"/>
      <c r="DE71" s="67"/>
      <c r="DF71" s="67"/>
      <c r="DG71" s="67"/>
      <c r="DH71" s="67"/>
      <c r="DI71" s="67"/>
      <c r="DJ71" s="67"/>
      <c r="DK71" s="67"/>
      <c r="DL71" s="67"/>
      <c r="DM71" s="67"/>
      <c r="DN71" s="67"/>
      <c r="DO71" s="67"/>
      <c r="DP71" s="67"/>
      <c r="DQ71" s="67"/>
      <c r="DR71" s="67"/>
      <c r="DS71" s="67"/>
      <c r="DT71" s="67"/>
      <c r="DU71" s="67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</row>
    <row r="72" spans="1:194" x14ac:dyDescent="0.25">
      <c r="A72" s="67"/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A72" s="67"/>
      <c r="DB72" s="67"/>
      <c r="DC72" s="67"/>
      <c r="DD72" s="67"/>
      <c r="DE72" s="67"/>
      <c r="DF72" s="67"/>
      <c r="DG72" s="67"/>
      <c r="DH72" s="67"/>
      <c r="DI72" s="67"/>
      <c r="DJ72" s="67"/>
      <c r="DK72" s="67"/>
      <c r="DL72" s="67"/>
      <c r="DM72" s="67"/>
      <c r="DN72" s="67"/>
      <c r="DO72" s="67"/>
      <c r="DP72" s="67"/>
      <c r="DQ72" s="67"/>
      <c r="DR72" s="67"/>
      <c r="DS72" s="67"/>
      <c r="DT72" s="67"/>
      <c r="DU72" s="67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</row>
    <row r="73" spans="1:194" x14ac:dyDescent="0.25">
      <c r="A73" s="67"/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A73" s="67"/>
      <c r="DB73" s="67"/>
      <c r="DC73" s="67"/>
      <c r="DD73" s="67"/>
      <c r="DE73" s="67"/>
      <c r="DF73" s="67"/>
      <c r="DG73" s="67"/>
      <c r="DH73" s="67"/>
      <c r="DI73" s="67"/>
      <c r="DJ73" s="67"/>
      <c r="DK73" s="67"/>
      <c r="DL73" s="67"/>
      <c r="DM73" s="67"/>
      <c r="DN73" s="67"/>
      <c r="DO73" s="67"/>
      <c r="DP73" s="67"/>
      <c r="DQ73" s="67"/>
      <c r="DR73" s="67"/>
      <c r="DS73" s="67"/>
      <c r="DT73" s="67"/>
      <c r="DU73" s="67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</row>
    <row r="74" spans="1:194" x14ac:dyDescent="0.25">
      <c r="A74" s="67"/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  <c r="DA74" s="67"/>
      <c r="DB74" s="67"/>
      <c r="DC74" s="67"/>
      <c r="DD74" s="67"/>
      <c r="DE74" s="67"/>
      <c r="DF74" s="67"/>
      <c r="DG74" s="67"/>
      <c r="DH74" s="67"/>
      <c r="DI74" s="67"/>
      <c r="DJ74" s="67"/>
      <c r="DK74" s="67"/>
      <c r="DL74" s="67"/>
      <c r="DM74" s="67"/>
      <c r="DN74" s="67"/>
      <c r="DO74" s="67"/>
      <c r="DP74" s="67"/>
      <c r="DQ74" s="67"/>
      <c r="DR74" s="67"/>
      <c r="DS74" s="67"/>
      <c r="DT74" s="67"/>
      <c r="DU74" s="67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</row>
    <row r="75" spans="1:194" x14ac:dyDescent="0.25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  <c r="DC75" s="67"/>
      <c r="DD75" s="67"/>
      <c r="DE75" s="67"/>
      <c r="DF75" s="67"/>
      <c r="DG75" s="67"/>
      <c r="DH75" s="67"/>
      <c r="DI75" s="67"/>
      <c r="DJ75" s="67"/>
      <c r="DK75" s="67"/>
      <c r="DL75" s="67"/>
      <c r="DM75" s="67"/>
      <c r="DN75" s="67"/>
      <c r="DO75" s="67"/>
      <c r="DP75" s="67"/>
      <c r="DQ75" s="67"/>
      <c r="DR75" s="67"/>
      <c r="DS75" s="67"/>
      <c r="DT75" s="67"/>
      <c r="DU75" s="67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</row>
    <row r="76" spans="1:194" x14ac:dyDescent="0.25">
      <c r="A76" s="67"/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  <c r="DC76" s="67"/>
      <c r="DD76" s="67"/>
      <c r="DE76" s="67"/>
      <c r="DF76" s="67"/>
      <c r="DG76" s="67"/>
      <c r="DH76" s="67"/>
      <c r="DI76" s="67"/>
      <c r="DJ76" s="67"/>
      <c r="DK76" s="67"/>
      <c r="DL76" s="67"/>
      <c r="DM76" s="67"/>
      <c r="DN76" s="67"/>
      <c r="DO76" s="67"/>
      <c r="DP76" s="67"/>
      <c r="DQ76" s="67"/>
      <c r="DR76" s="67"/>
      <c r="DS76" s="67"/>
      <c r="DT76" s="67"/>
      <c r="DU76" s="67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</row>
    <row r="77" spans="1:194" x14ac:dyDescent="0.25">
      <c r="A77" s="67"/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  <c r="DC77" s="67"/>
      <c r="DD77" s="67"/>
      <c r="DE77" s="67"/>
      <c r="DF77" s="67"/>
      <c r="DG77" s="67"/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/>
      <c r="DS77" s="67"/>
      <c r="DT77" s="67"/>
      <c r="DU77" s="67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</row>
    <row r="78" spans="1:194" x14ac:dyDescent="0.25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</row>
    <row r="79" spans="1:194" x14ac:dyDescent="0.25">
      <c r="A79" s="67"/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  <c r="CR79" s="67"/>
      <c r="CS79" s="67"/>
      <c r="CT79" s="67"/>
      <c r="CU79" s="67"/>
      <c r="CV79" s="67"/>
      <c r="CW79" s="67"/>
      <c r="CX79" s="67"/>
      <c r="CY79" s="67"/>
      <c r="CZ79" s="67"/>
      <c r="DA79" s="67"/>
      <c r="DB79" s="67"/>
      <c r="DC79" s="67"/>
      <c r="DD79" s="67"/>
      <c r="DE79" s="67"/>
      <c r="DF79" s="67"/>
      <c r="DG79" s="67"/>
      <c r="DH79" s="67"/>
      <c r="DI79" s="67"/>
      <c r="DJ79" s="67"/>
      <c r="DK79" s="67"/>
      <c r="DL79" s="67"/>
      <c r="DM79" s="67"/>
      <c r="DN79" s="67"/>
      <c r="DO79" s="67"/>
      <c r="DP79" s="67"/>
      <c r="DQ79" s="67"/>
      <c r="DR79" s="67"/>
      <c r="DS79" s="67"/>
      <c r="DT79" s="67"/>
      <c r="DU79" s="67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</row>
    <row r="80" spans="1:194" x14ac:dyDescent="0.25">
      <c r="A80" s="67"/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  <c r="BI80" s="67"/>
      <c r="BJ80" s="67"/>
      <c r="BK80" s="67"/>
      <c r="BL80" s="6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A80" s="67"/>
      <c r="CB80" s="67"/>
      <c r="CC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  <c r="CR80" s="67"/>
      <c r="CS80" s="67"/>
      <c r="CT80" s="67"/>
      <c r="CU80" s="67"/>
      <c r="CV80" s="67"/>
      <c r="CW80" s="67"/>
      <c r="CX80" s="67"/>
      <c r="CY80" s="67"/>
      <c r="CZ80" s="67"/>
      <c r="DA80" s="67"/>
      <c r="DB80" s="67"/>
      <c r="DC80" s="67"/>
      <c r="DD80" s="67"/>
      <c r="DE80" s="67"/>
      <c r="DF80" s="67"/>
      <c r="DG80" s="67"/>
      <c r="DH80" s="67"/>
      <c r="DI80" s="67"/>
      <c r="DJ80" s="67"/>
      <c r="DK80" s="67"/>
      <c r="DL80" s="67"/>
      <c r="DM80" s="67"/>
      <c r="DN80" s="67"/>
      <c r="DO80" s="67"/>
      <c r="DP80" s="67"/>
      <c r="DQ80" s="67"/>
      <c r="DR80" s="67"/>
      <c r="DS80" s="67"/>
      <c r="DT80" s="67"/>
      <c r="DU80" s="67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</row>
    <row r="81" spans="1:194" x14ac:dyDescent="0.25">
      <c r="A81" s="67"/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  <c r="BI81" s="67"/>
      <c r="BJ81" s="67"/>
      <c r="BK81" s="67"/>
      <c r="BL81" s="6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A81" s="67"/>
      <c r="CB81" s="67"/>
      <c r="CC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  <c r="CR81" s="67"/>
      <c r="CS81" s="67"/>
      <c r="CT81" s="67"/>
      <c r="CU81" s="67"/>
      <c r="CV81" s="67"/>
      <c r="CW81" s="67"/>
      <c r="CX81" s="67"/>
      <c r="CY81" s="67"/>
      <c r="CZ81" s="67"/>
      <c r="DA81" s="67"/>
      <c r="DB81" s="67"/>
      <c r="DC81" s="67"/>
      <c r="DD81" s="67"/>
      <c r="DE81" s="67"/>
      <c r="DF81" s="67"/>
      <c r="DG81" s="67"/>
      <c r="DH81" s="67"/>
      <c r="DI81" s="67"/>
      <c r="DJ81" s="67"/>
      <c r="DK81" s="67"/>
      <c r="DL81" s="67"/>
      <c r="DM81" s="67"/>
      <c r="DN81" s="67"/>
      <c r="DO81" s="67"/>
      <c r="DP81" s="67"/>
      <c r="DQ81" s="67"/>
      <c r="DR81" s="67"/>
      <c r="DS81" s="67"/>
      <c r="DT81" s="67"/>
      <c r="DU81" s="67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</row>
    <row r="82" spans="1:194" x14ac:dyDescent="0.25">
      <c r="A82" s="67"/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7"/>
      <c r="CC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  <c r="CR82" s="67"/>
      <c r="CS82" s="67"/>
      <c r="CT82" s="67"/>
      <c r="CU82" s="67"/>
      <c r="CV82" s="67"/>
      <c r="CW82" s="67"/>
      <c r="CX82" s="67"/>
      <c r="CY82" s="67"/>
      <c r="CZ82" s="67"/>
      <c r="DA82" s="67"/>
      <c r="DB82" s="67"/>
      <c r="DC82" s="67"/>
      <c r="DD82" s="67"/>
      <c r="DE82" s="67"/>
      <c r="DF82" s="67"/>
      <c r="DG82" s="67"/>
      <c r="DH82" s="67"/>
      <c r="DI82" s="67"/>
      <c r="DJ82" s="67"/>
      <c r="DK82" s="67"/>
      <c r="DL82" s="67"/>
      <c r="DM82" s="67"/>
      <c r="DN82" s="67"/>
      <c r="DO82" s="67"/>
      <c r="DP82" s="67"/>
      <c r="DQ82" s="67"/>
      <c r="DR82" s="67"/>
      <c r="DS82" s="67"/>
      <c r="DT82" s="67"/>
      <c r="DU82" s="67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</row>
    <row r="83" spans="1:194" x14ac:dyDescent="0.25">
      <c r="A83" s="67"/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  <c r="CR83" s="67"/>
      <c r="CS83" s="67"/>
      <c r="CT83" s="67"/>
      <c r="CU83" s="67"/>
      <c r="CV83" s="67"/>
      <c r="CW83" s="67"/>
      <c r="CX83" s="67"/>
      <c r="CY83" s="67"/>
      <c r="CZ83" s="67"/>
      <c r="DA83" s="67"/>
      <c r="DB83" s="67"/>
      <c r="DC83" s="67"/>
      <c r="DD83" s="67"/>
      <c r="DE83" s="67"/>
      <c r="DF83" s="67"/>
      <c r="DG83" s="67"/>
      <c r="DH83" s="67"/>
      <c r="DI83" s="67"/>
      <c r="DJ83" s="67"/>
      <c r="DK83" s="67"/>
      <c r="DL83" s="67"/>
      <c r="DM83" s="67"/>
      <c r="DN83" s="67"/>
      <c r="DO83" s="67"/>
      <c r="DP83" s="67"/>
      <c r="DQ83" s="67"/>
      <c r="DR83" s="67"/>
      <c r="DS83" s="67"/>
      <c r="DT83" s="67"/>
      <c r="DU83" s="67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</row>
    <row r="84" spans="1:194" x14ac:dyDescent="0.25">
      <c r="A84" s="67"/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</row>
    <row r="85" spans="1:194" x14ac:dyDescent="0.25">
      <c r="A85" s="67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  <c r="BI85" s="67"/>
      <c r="BJ85" s="67"/>
      <c r="BK85" s="67"/>
      <c r="BL85" s="6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A85" s="67"/>
      <c r="CB85" s="67"/>
      <c r="CC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  <c r="CR85" s="67"/>
      <c r="CS85" s="67"/>
      <c r="CT85" s="67"/>
      <c r="CU85" s="67"/>
      <c r="CV85" s="67"/>
      <c r="CW85" s="67"/>
      <c r="CX85" s="67"/>
      <c r="CY85" s="67"/>
      <c r="CZ85" s="67"/>
      <c r="DA85" s="67"/>
      <c r="DB85" s="67"/>
      <c r="DC85" s="67"/>
      <c r="DD85" s="67"/>
      <c r="DE85" s="67"/>
      <c r="DF85" s="67"/>
      <c r="DG85" s="67"/>
      <c r="DH85" s="67"/>
      <c r="DI85" s="67"/>
      <c r="DJ85" s="67"/>
      <c r="DK85" s="67"/>
      <c r="DL85" s="67"/>
      <c r="DM85" s="67"/>
      <c r="DN85" s="67"/>
      <c r="DO85" s="67"/>
      <c r="DP85" s="67"/>
      <c r="DQ85" s="67"/>
      <c r="DR85" s="67"/>
      <c r="DS85" s="67"/>
      <c r="DT85" s="67"/>
      <c r="DU85" s="67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</row>
    <row r="86" spans="1:194" x14ac:dyDescent="0.25">
      <c r="A86" s="67"/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  <c r="AK86" s="67"/>
      <c r="AL86" s="67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  <c r="BI86" s="67"/>
      <c r="BJ86" s="67"/>
      <c r="BK86" s="67"/>
      <c r="BL86" s="6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A86" s="67"/>
      <c r="CB86" s="67"/>
      <c r="CC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  <c r="CR86" s="67"/>
      <c r="CS86" s="67"/>
      <c r="CT86" s="67"/>
      <c r="CU86" s="67"/>
      <c r="CV86" s="67"/>
      <c r="CW86" s="67"/>
      <c r="CX86" s="67"/>
      <c r="CY86" s="67"/>
      <c r="CZ86" s="67"/>
      <c r="DA86" s="67"/>
      <c r="DB86" s="67"/>
      <c r="DC86" s="67"/>
      <c r="DD86" s="67"/>
      <c r="DE86" s="67"/>
      <c r="DF86" s="67"/>
      <c r="DG86" s="67"/>
      <c r="DH86" s="67"/>
      <c r="DI86" s="67"/>
      <c r="DJ86" s="67"/>
      <c r="DK86" s="67"/>
      <c r="DL86" s="67"/>
      <c r="DM86" s="67"/>
      <c r="DN86" s="67"/>
      <c r="DO86" s="67"/>
      <c r="DP86" s="67"/>
      <c r="DQ86" s="67"/>
      <c r="DR86" s="67"/>
      <c r="DS86" s="67"/>
      <c r="DT86" s="67"/>
      <c r="DU86" s="67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</row>
    <row r="87" spans="1:194" x14ac:dyDescent="0.25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  <c r="AK87" s="67"/>
      <c r="AL87" s="67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  <c r="BH87" s="67"/>
      <c r="BI87" s="67"/>
      <c r="BJ87" s="67"/>
      <c r="BK87" s="67"/>
      <c r="BL87" s="6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A87" s="67"/>
      <c r="CB87" s="67"/>
      <c r="CC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  <c r="CR87" s="67"/>
      <c r="CS87" s="67"/>
      <c r="CT87" s="67"/>
      <c r="CU87" s="67"/>
      <c r="CV87" s="67"/>
      <c r="CW87" s="67"/>
      <c r="CX87" s="67"/>
      <c r="CY87" s="67"/>
      <c r="CZ87" s="67"/>
      <c r="DA87" s="67"/>
      <c r="DB87" s="67"/>
      <c r="DC87" s="67"/>
      <c r="DD87" s="67"/>
      <c r="DE87" s="67"/>
      <c r="DF87" s="67"/>
      <c r="DG87" s="67"/>
      <c r="DH87" s="67"/>
      <c r="DI87" s="67"/>
      <c r="DJ87" s="67"/>
      <c r="DK87" s="67"/>
      <c r="DL87" s="67"/>
      <c r="DM87" s="67"/>
      <c r="DN87" s="67"/>
      <c r="DO87" s="67"/>
      <c r="DP87" s="67"/>
      <c r="DQ87" s="67"/>
      <c r="DR87" s="67"/>
      <c r="DS87" s="67"/>
      <c r="DT87" s="67"/>
      <c r="DU87" s="67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</row>
    <row r="88" spans="1:194" x14ac:dyDescent="0.25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  <c r="BH88" s="67"/>
      <c r="BI88" s="67"/>
      <c r="BJ88" s="67"/>
      <c r="BK88" s="67"/>
      <c r="BL88" s="6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A88" s="67"/>
      <c r="CB88" s="67"/>
      <c r="CC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  <c r="CR88" s="67"/>
      <c r="CS88" s="67"/>
      <c r="CT88" s="67"/>
      <c r="CU88" s="67"/>
      <c r="CV88" s="67"/>
      <c r="CW88" s="67"/>
      <c r="CX88" s="67"/>
      <c r="CY88" s="67"/>
      <c r="CZ88" s="67"/>
      <c r="DA88" s="67"/>
      <c r="DB88" s="67"/>
      <c r="DC88" s="67"/>
      <c r="DD88" s="67"/>
      <c r="DE88" s="67"/>
      <c r="DF88" s="67"/>
      <c r="DG88" s="67"/>
      <c r="DH88" s="67"/>
      <c r="DI88" s="67"/>
      <c r="DJ88" s="67"/>
      <c r="DK88" s="67"/>
      <c r="DL88" s="67"/>
      <c r="DM88" s="67"/>
      <c r="DN88" s="67"/>
      <c r="DO88" s="67"/>
      <c r="DP88" s="67"/>
      <c r="DQ88" s="67"/>
      <c r="DR88" s="67"/>
      <c r="DS88" s="67"/>
      <c r="DT88" s="67"/>
      <c r="DU88" s="67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</row>
    <row r="89" spans="1:194" x14ac:dyDescent="0.25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  <c r="BI89" s="67"/>
      <c r="BJ89" s="67"/>
      <c r="BK89" s="67"/>
      <c r="BL89" s="6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A89" s="67"/>
      <c r="CB89" s="67"/>
      <c r="CC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  <c r="CR89" s="67"/>
      <c r="CS89" s="67"/>
      <c r="CT89" s="67"/>
      <c r="CU89" s="67"/>
      <c r="CV89" s="67"/>
      <c r="CW89" s="67"/>
      <c r="CX89" s="67"/>
      <c r="CY89" s="67"/>
      <c r="CZ89" s="67"/>
      <c r="DA89" s="67"/>
      <c r="DB89" s="67"/>
      <c r="DC89" s="67"/>
      <c r="DD89" s="67"/>
      <c r="DE89" s="67"/>
      <c r="DF89" s="67"/>
      <c r="DG89" s="67"/>
      <c r="DH89" s="67"/>
      <c r="DI89" s="67"/>
      <c r="DJ89" s="67"/>
      <c r="DK89" s="67"/>
      <c r="DL89" s="67"/>
      <c r="DM89" s="67"/>
      <c r="DN89" s="67"/>
      <c r="DO89" s="67"/>
      <c r="DP89" s="67"/>
      <c r="DQ89" s="67"/>
      <c r="DR89" s="67"/>
      <c r="DS89" s="67"/>
      <c r="DT89" s="67"/>
      <c r="DU89" s="67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</row>
    <row r="90" spans="1:194" x14ac:dyDescent="0.25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  <c r="BI90" s="67"/>
      <c r="BJ90" s="67"/>
      <c r="BK90" s="67"/>
      <c r="BL90" s="6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A90" s="67"/>
      <c r="CB90" s="67"/>
      <c r="CC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  <c r="CR90" s="67"/>
      <c r="CS90" s="67"/>
      <c r="CT90" s="67"/>
      <c r="CU90" s="67"/>
      <c r="CV90" s="67"/>
      <c r="CW90" s="67"/>
      <c r="CX90" s="67"/>
      <c r="CY90" s="67"/>
      <c r="CZ90" s="67"/>
      <c r="DA90" s="67"/>
      <c r="DB90" s="67"/>
      <c r="DC90" s="67"/>
      <c r="DD90" s="67"/>
      <c r="DE90" s="67"/>
      <c r="DF90" s="67"/>
      <c r="DG90" s="67"/>
      <c r="DH90" s="67"/>
      <c r="DI90" s="67"/>
      <c r="DJ90" s="67"/>
      <c r="DK90" s="67"/>
      <c r="DL90" s="67"/>
      <c r="DM90" s="67"/>
      <c r="DN90" s="67"/>
      <c r="DO90" s="67"/>
      <c r="DP90" s="67"/>
      <c r="DQ90" s="67"/>
      <c r="DR90" s="67"/>
      <c r="DS90" s="67"/>
      <c r="DT90" s="67"/>
      <c r="DU90" s="67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</row>
    <row r="91" spans="1:194" x14ac:dyDescent="0.25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  <c r="BI91" s="67"/>
      <c r="BJ91" s="67"/>
      <c r="BK91" s="67"/>
      <c r="BL91" s="6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A91" s="67"/>
      <c r="CB91" s="67"/>
      <c r="CC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  <c r="CR91" s="67"/>
      <c r="CS91" s="67"/>
      <c r="CT91" s="67"/>
      <c r="CU91" s="67"/>
      <c r="CV91" s="67"/>
      <c r="CW91" s="67"/>
      <c r="CX91" s="67"/>
      <c r="CY91" s="67"/>
      <c r="CZ91" s="67"/>
      <c r="DA91" s="67"/>
      <c r="DB91" s="67"/>
      <c r="DC91" s="67"/>
      <c r="DD91" s="67"/>
      <c r="DE91" s="67"/>
      <c r="DF91" s="67"/>
      <c r="DG91" s="67"/>
      <c r="DH91" s="67"/>
      <c r="DI91" s="67"/>
      <c r="DJ91" s="67"/>
      <c r="DK91" s="67"/>
      <c r="DL91" s="67"/>
      <c r="DM91" s="67"/>
      <c r="DN91" s="67"/>
      <c r="DO91" s="67"/>
      <c r="DP91" s="67"/>
      <c r="DQ91" s="67"/>
      <c r="DR91" s="67"/>
      <c r="DS91" s="67"/>
      <c r="DT91" s="67"/>
      <c r="DU91" s="67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</row>
    <row r="92" spans="1:194" x14ac:dyDescent="0.25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  <c r="BI92" s="67"/>
      <c r="BJ92" s="67"/>
      <c r="BK92" s="67"/>
      <c r="BL92" s="6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A92" s="67"/>
      <c r="CB92" s="67"/>
      <c r="CC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  <c r="CR92" s="67"/>
      <c r="CS92" s="67"/>
      <c r="CT92" s="67"/>
      <c r="CU92" s="67"/>
      <c r="CV92" s="67"/>
      <c r="CW92" s="67"/>
      <c r="CX92" s="67"/>
      <c r="CY92" s="67"/>
      <c r="CZ92" s="67"/>
      <c r="DA92" s="67"/>
      <c r="DB92" s="67"/>
      <c r="DC92" s="67"/>
      <c r="DD92" s="67"/>
      <c r="DE92" s="67"/>
      <c r="DF92" s="67"/>
      <c r="DG92" s="67"/>
      <c r="DH92" s="67"/>
      <c r="DI92" s="67"/>
      <c r="DJ92" s="67"/>
      <c r="DK92" s="67"/>
      <c r="DL92" s="67"/>
      <c r="DM92" s="67"/>
      <c r="DN92" s="67"/>
      <c r="DO92" s="67"/>
      <c r="DP92" s="67"/>
      <c r="DQ92" s="67"/>
      <c r="DR92" s="67"/>
      <c r="DS92" s="67"/>
      <c r="DT92" s="67"/>
      <c r="DU92" s="67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</row>
    <row r="93" spans="1:194" x14ac:dyDescent="0.25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  <c r="BI93" s="67"/>
      <c r="BJ93" s="67"/>
      <c r="BK93" s="67"/>
      <c r="BL93" s="6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A93" s="67"/>
      <c r="CB93" s="67"/>
      <c r="CC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  <c r="CR93" s="67"/>
      <c r="CS93" s="67"/>
      <c r="CT93" s="67"/>
      <c r="CU93" s="67"/>
      <c r="CV93" s="67"/>
      <c r="CW93" s="67"/>
      <c r="CX93" s="67"/>
      <c r="CY93" s="67"/>
      <c r="CZ93" s="67"/>
      <c r="DA93" s="67"/>
      <c r="DB93" s="67"/>
      <c r="DC93" s="67"/>
      <c r="DD93" s="67"/>
      <c r="DE93" s="67"/>
      <c r="DF93" s="67"/>
      <c r="DG93" s="67"/>
      <c r="DH93" s="67"/>
      <c r="DI93" s="67"/>
      <c r="DJ93" s="67"/>
      <c r="DK93" s="67"/>
      <c r="DL93" s="67"/>
      <c r="DM93" s="67"/>
      <c r="DN93" s="67"/>
      <c r="DO93" s="67"/>
      <c r="DP93" s="67"/>
      <c r="DQ93" s="67"/>
      <c r="DR93" s="67"/>
      <c r="DS93" s="67"/>
      <c r="DT93" s="67"/>
      <c r="DU93" s="67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</row>
    <row r="94" spans="1:194" x14ac:dyDescent="0.25">
      <c r="A94" s="67"/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  <c r="BI94" s="67"/>
      <c r="BJ94" s="67"/>
      <c r="BK94" s="67"/>
      <c r="BL94" s="6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A94" s="67"/>
      <c r="CB94" s="67"/>
      <c r="CC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  <c r="CR94" s="67"/>
      <c r="CS94" s="67"/>
      <c r="CT94" s="67"/>
      <c r="CU94" s="67"/>
      <c r="CV94" s="67"/>
      <c r="CW94" s="67"/>
      <c r="CX94" s="67"/>
      <c r="CY94" s="67"/>
      <c r="CZ94" s="67"/>
      <c r="DA94" s="67"/>
      <c r="DB94" s="67"/>
      <c r="DC94" s="67"/>
      <c r="DD94" s="67"/>
      <c r="DE94" s="67"/>
      <c r="DF94" s="67"/>
      <c r="DG94" s="67"/>
      <c r="DH94" s="67"/>
      <c r="DI94" s="67"/>
      <c r="DJ94" s="67"/>
      <c r="DK94" s="67"/>
      <c r="DL94" s="67"/>
      <c r="DM94" s="67"/>
      <c r="DN94" s="67"/>
      <c r="DO94" s="67"/>
      <c r="DP94" s="67"/>
      <c r="DQ94" s="67"/>
      <c r="DR94" s="67"/>
      <c r="DS94" s="67"/>
      <c r="DT94" s="67"/>
      <c r="DU94" s="67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</row>
    <row r="95" spans="1:194" x14ac:dyDescent="0.25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  <c r="AK95" s="67"/>
      <c r="AL95" s="67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  <c r="BI95" s="67"/>
      <c r="BJ95" s="67"/>
      <c r="BK95" s="67"/>
      <c r="BL95" s="6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A95" s="67"/>
      <c r="CB95" s="67"/>
      <c r="CC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  <c r="CR95" s="67"/>
      <c r="CS95" s="67"/>
      <c r="CT95" s="67"/>
      <c r="CU95" s="67"/>
      <c r="CV95" s="67"/>
      <c r="CW95" s="67"/>
      <c r="CX95" s="67"/>
      <c r="CY95" s="67"/>
      <c r="CZ95" s="67"/>
      <c r="DA95" s="67"/>
      <c r="DB95" s="67"/>
      <c r="DC95" s="67"/>
      <c r="DD95" s="67"/>
      <c r="DE95" s="67"/>
      <c r="DF95" s="67"/>
      <c r="DG95" s="67"/>
      <c r="DH95" s="67"/>
      <c r="DI95" s="67"/>
      <c r="DJ95" s="67"/>
      <c r="DK95" s="67"/>
      <c r="DL95" s="67"/>
      <c r="DM95" s="67"/>
      <c r="DN95" s="67"/>
      <c r="DO95" s="67"/>
      <c r="DP95" s="67"/>
      <c r="DQ95" s="67"/>
      <c r="DR95" s="67"/>
      <c r="DS95" s="67"/>
      <c r="DT95" s="67"/>
      <c r="DU95" s="67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</row>
    <row r="96" spans="1:194" x14ac:dyDescent="0.25">
      <c r="A96" s="67"/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  <c r="AK96" s="67"/>
      <c r="AL96" s="67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  <c r="BI96" s="67"/>
      <c r="BJ96" s="67"/>
      <c r="BK96" s="67"/>
      <c r="BL96" s="6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A96" s="67"/>
      <c r="CB96" s="67"/>
      <c r="CC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  <c r="CR96" s="67"/>
      <c r="CS96" s="67"/>
      <c r="CT96" s="67"/>
      <c r="CU96" s="67"/>
      <c r="CV96" s="67"/>
      <c r="CW96" s="67"/>
      <c r="CX96" s="67"/>
      <c r="CY96" s="67"/>
      <c r="CZ96" s="67"/>
      <c r="DA96" s="67"/>
      <c r="DB96" s="67"/>
      <c r="DC96" s="67"/>
      <c r="DD96" s="67"/>
      <c r="DE96" s="67"/>
      <c r="DF96" s="67"/>
      <c r="DG96" s="67"/>
      <c r="DH96" s="67"/>
      <c r="DI96" s="67"/>
      <c r="DJ96" s="67"/>
      <c r="DK96" s="67"/>
      <c r="DL96" s="67"/>
      <c r="DM96" s="67"/>
      <c r="DN96" s="67"/>
      <c r="DO96" s="67"/>
      <c r="DP96" s="67"/>
      <c r="DQ96" s="67"/>
      <c r="DR96" s="67"/>
      <c r="DS96" s="67"/>
      <c r="DT96" s="67"/>
      <c r="DU96" s="67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</row>
    <row r="97" spans="1:194" x14ac:dyDescent="0.25">
      <c r="A97" s="67"/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  <c r="AK97" s="67"/>
      <c r="AL97" s="67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  <c r="BI97" s="67"/>
      <c r="BJ97" s="67"/>
      <c r="BK97" s="67"/>
      <c r="BL97" s="6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A97" s="67"/>
      <c r="CB97" s="67"/>
      <c r="CC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  <c r="CR97" s="67"/>
      <c r="CS97" s="67"/>
      <c r="CT97" s="67"/>
      <c r="CU97" s="67"/>
      <c r="CV97" s="67"/>
      <c r="CW97" s="67"/>
      <c r="CX97" s="67"/>
      <c r="CY97" s="67"/>
      <c r="CZ97" s="67"/>
      <c r="DA97" s="67"/>
      <c r="DB97" s="67"/>
      <c r="DC97" s="67"/>
      <c r="DD97" s="67"/>
      <c r="DE97" s="67"/>
      <c r="DF97" s="67"/>
      <c r="DG97" s="67"/>
      <c r="DH97" s="67"/>
      <c r="DI97" s="67"/>
      <c r="DJ97" s="67"/>
      <c r="DK97" s="67"/>
      <c r="DL97" s="67"/>
      <c r="DM97" s="67"/>
      <c r="DN97" s="67"/>
      <c r="DO97" s="67"/>
      <c r="DP97" s="67"/>
      <c r="DQ97" s="67"/>
      <c r="DR97" s="67"/>
      <c r="DS97" s="67"/>
      <c r="DT97" s="67"/>
      <c r="DU97" s="67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</row>
    <row r="98" spans="1:194" x14ac:dyDescent="0.25">
      <c r="A98" s="67"/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  <c r="BI98" s="67"/>
      <c r="BJ98" s="67"/>
      <c r="BK98" s="67"/>
      <c r="BL98" s="6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A98" s="67"/>
      <c r="CB98" s="67"/>
      <c r="CC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  <c r="CR98" s="67"/>
      <c r="CS98" s="67"/>
      <c r="CT98" s="67"/>
      <c r="CU98" s="67"/>
      <c r="CV98" s="67"/>
      <c r="CW98" s="67"/>
      <c r="CX98" s="67"/>
      <c r="CY98" s="67"/>
      <c r="CZ98" s="67"/>
      <c r="DA98" s="67"/>
      <c r="DB98" s="67"/>
      <c r="DC98" s="67"/>
      <c r="DD98" s="67"/>
      <c r="DE98" s="67"/>
      <c r="DF98" s="67"/>
      <c r="DG98" s="67"/>
      <c r="DH98" s="67"/>
      <c r="DI98" s="67"/>
      <c r="DJ98" s="67"/>
      <c r="DK98" s="67"/>
      <c r="DL98" s="67"/>
      <c r="DM98" s="67"/>
      <c r="DN98" s="67"/>
      <c r="DO98" s="67"/>
      <c r="DP98" s="67"/>
      <c r="DQ98" s="67"/>
      <c r="DR98" s="67"/>
      <c r="DS98" s="67"/>
      <c r="DT98" s="67"/>
      <c r="DU98" s="67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</row>
    <row r="99" spans="1:194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  <c r="BI99" s="67"/>
      <c r="BJ99" s="67"/>
      <c r="BK99" s="67"/>
      <c r="BL99" s="6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A99" s="67"/>
      <c r="CB99" s="67"/>
      <c r="CC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  <c r="CR99" s="67"/>
      <c r="CS99" s="67"/>
      <c r="CT99" s="67"/>
      <c r="CU99" s="67"/>
      <c r="CV99" s="67"/>
      <c r="CW99" s="67"/>
      <c r="CX99" s="67"/>
      <c r="CY99" s="67"/>
      <c r="CZ99" s="67"/>
      <c r="DA99" s="67"/>
      <c r="DB99" s="67"/>
      <c r="DC99" s="67"/>
      <c r="DD99" s="67"/>
      <c r="DE99" s="67"/>
      <c r="DF99" s="67"/>
      <c r="DG99" s="67"/>
      <c r="DH99" s="67"/>
      <c r="DI99" s="67"/>
      <c r="DJ99" s="67"/>
      <c r="DK99" s="67"/>
      <c r="DL99" s="67"/>
      <c r="DM99" s="67"/>
      <c r="DN99" s="67"/>
      <c r="DO99" s="67"/>
      <c r="DP99" s="67"/>
      <c r="DQ99" s="67"/>
      <c r="DR99" s="67"/>
      <c r="DS99" s="67"/>
      <c r="DT99" s="67"/>
      <c r="DU99" s="67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</row>
    <row r="100" spans="1:194" x14ac:dyDescent="0.25">
      <c r="A100" s="67"/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  <c r="BH100" s="67"/>
      <c r="BI100" s="67"/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</row>
    <row r="101" spans="1:194" x14ac:dyDescent="0.25">
      <c r="A101" s="67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  <c r="AK101" s="67"/>
      <c r="AL101" s="67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  <c r="BH101" s="67"/>
      <c r="BI101" s="67"/>
      <c r="BJ101" s="67"/>
      <c r="BK101" s="67"/>
      <c r="BL101" s="6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A101" s="67"/>
      <c r="CB101" s="67"/>
      <c r="CC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  <c r="CR101" s="67"/>
      <c r="CS101" s="67"/>
      <c r="CT101" s="67"/>
      <c r="CU101" s="67"/>
      <c r="CV101" s="67"/>
      <c r="CW101" s="67"/>
      <c r="CX101" s="67"/>
      <c r="CY101" s="67"/>
      <c r="CZ101" s="67"/>
      <c r="DA101" s="67"/>
      <c r="DB101" s="67"/>
      <c r="DC101" s="67"/>
      <c r="DD101" s="67"/>
      <c r="DE101" s="67"/>
      <c r="DF101" s="67"/>
      <c r="DG101" s="67"/>
      <c r="DH101" s="67"/>
      <c r="DI101" s="67"/>
      <c r="DJ101" s="67"/>
      <c r="DK101" s="67"/>
      <c r="DL101" s="67"/>
      <c r="DM101" s="67"/>
      <c r="DN101" s="67"/>
      <c r="DO101" s="67"/>
      <c r="DP101" s="67"/>
      <c r="DQ101" s="67"/>
      <c r="DR101" s="67"/>
      <c r="DS101" s="67"/>
      <c r="DT101" s="67"/>
      <c r="DU101" s="67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</row>
    <row r="102" spans="1:194" x14ac:dyDescent="0.25">
      <c r="A102" s="67"/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  <c r="BI102" s="67"/>
      <c r="BJ102" s="67"/>
      <c r="BK102" s="67"/>
      <c r="BL102" s="6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A102" s="67"/>
      <c r="CB102" s="67"/>
      <c r="CC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  <c r="CR102" s="67"/>
      <c r="CS102" s="67"/>
      <c r="CT102" s="67"/>
      <c r="CU102" s="67"/>
      <c r="CV102" s="67"/>
      <c r="CW102" s="67"/>
      <c r="CX102" s="67"/>
      <c r="CY102" s="67"/>
      <c r="CZ102" s="67"/>
      <c r="DA102" s="67"/>
      <c r="DB102" s="67"/>
      <c r="DC102" s="67"/>
      <c r="DD102" s="67"/>
      <c r="DE102" s="67"/>
      <c r="DF102" s="67"/>
      <c r="DG102" s="67"/>
      <c r="DH102" s="67"/>
      <c r="DI102" s="67"/>
      <c r="DJ102" s="67"/>
      <c r="DK102" s="67"/>
      <c r="DL102" s="67"/>
      <c r="DM102" s="67"/>
      <c r="DN102" s="67"/>
      <c r="DO102" s="67"/>
      <c r="DP102" s="67"/>
      <c r="DQ102" s="67"/>
      <c r="DR102" s="67"/>
      <c r="DS102" s="67"/>
      <c r="DT102" s="67"/>
      <c r="DU102" s="67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</row>
    <row r="103" spans="1:194" x14ac:dyDescent="0.25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  <c r="AK103" s="67"/>
      <c r="AL103" s="67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67"/>
      <c r="BD103" s="67"/>
      <c r="BE103" s="67"/>
      <c r="BF103" s="67"/>
      <c r="BG103" s="67"/>
      <c r="BH103" s="67"/>
      <c r="BI103" s="67"/>
      <c r="BJ103" s="67"/>
      <c r="BK103" s="67"/>
      <c r="BL103" s="6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A103" s="67"/>
      <c r="CB103" s="67"/>
      <c r="CC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  <c r="CR103" s="67"/>
      <c r="CS103" s="67"/>
      <c r="CT103" s="67"/>
      <c r="CU103" s="67"/>
      <c r="CV103" s="67"/>
      <c r="CW103" s="67"/>
      <c r="CX103" s="67"/>
      <c r="CY103" s="67"/>
      <c r="CZ103" s="67"/>
      <c r="DA103" s="67"/>
      <c r="DB103" s="67"/>
      <c r="DC103" s="67"/>
      <c r="DD103" s="67"/>
      <c r="DE103" s="67"/>
      <c r="DF103" s="67"/>
      <c r="DG103" s="67"/>
      <c r="DH103" s="67"/>
      <c r="DI103" s="67"/>
      <c r="DJ103" s="67"/>
      <c r="DK103" s="67"/>
      <c r="DL103" s="67"/>
      <c r="DM103" s="67"/>
      <c r="DN103" s="67"/>
      <c r="DO103" s="67"/>
      <c r="DP103" s="67"/>
      <c r="DQ103" s="67"/>
      <c r="DR103" s="67"/>
      <c r="DS103" s="67"/>
      <c r="DT103" s="67"/>
      <c r="DU103" s="67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/>
      <c r="GJ103" s="6"/>
      <c r="GK103" s="6"/>
      <c r="GL103" s="6"/>
    </row>
    <row r="104" spans="1:194" x14ac:dyDescent="0.25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  <c r="AK104" s="67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  <c r="BI104" s="67"/>
      <c r="BJ104" s="67"/>
      <c r="BK104" s="67"/>
      <c r="BL104" s="6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A104" s="67"/>
      <c r="CB104" s="67"/>
      <c r="CC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  <c r="CR104" s="67"/>
      <c r="CS104" s="67"/>
      <c r="CT104" s="67"/>
      <c r="CU104" s="67"/>
      <c r="CV104" s="67"/>
      <c r="CW104" s="67"/>
      <c r="CX104" s="67"/>
      <c r="CY104" s="67"/>
      <c r="CZ104" s="67"/>
      <c r="DA104" s="67"/>
      <c r="DB104" s="67"/>
      <c r="DC104" s="67"/>
      <c r="DD104" s="67"/>
      <c r="DE104" s="67"/>
      <c r="DF104" s="67"/>
      <c r="DG104" s="67"/>
      <c r="DH104" s="67"/>
      <c r="DI104" s="67"/>
      <c r="DJ104" s="67"/>
      <c r="DK104" s="67"/>
      <c r="DL104" s="67"/>
      <c r="DM104" s="67"/>
      <c r="DN104" s="67"/>
      <c r="DO104" s="67"/>
      <c r="DP104" s="67"/>
      <c r="DQ104" s="67"/>
      <c r="DR104" s="67"/>
      <c r="DS104" s="67"/>
      <c r="DT104" s="67"/>
      <c r="DU104" s="67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</row>
    <row r="105" spans="1:194" x14ac:dyDescent="0.25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  <c r="BI105" s="67"/>
      <c r="BJ105" s="67"/>
      <c r="BK105" s="67"/>
      <c r="BL105" s="6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A105" s="67"/>
      <c r="CB105" s="67"/>
      <c r="CC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  <c r="CR105" s="67"/>
      <c r="CS105" s="67"/>
      <c r="CT105" s="67"/>
      <c r="CU105" s="67"/>
      <c r="CV105" s="67"/>
      <c r="CW105" s="67"/>
      <c r="CX105" s="67"/>
      <c r="CY105" s="67"/>
      <c r="CZ105" s="67"/>
      <c r="DA105" s="67"/>
      <c r="DB105" s="67"/>
      <c r="DC105" s="67"/>
      <c r="DD105" s="67"/>
      <c r="DE105" s="67"/>
      <c r="DF105" s="67"/>
      <c r="DG105" s="67"/>
      <c r="DH105" s="67"/>
      <c r="DI105" s="67"/>
      <c r="DJ105" s="67"/>
      <c r="DK105" s="67"/>
      <c r="DL105" s="67"/>
      <c r="DM105" s="67"/>
      <c r="DN105" s="67"/>
      <c r="DO105" s="67"/>
      <c r="DP105" s="67"/>
      <c r="DQ105" s="67"/>
      <c r="DR105" s="67"/>
      <c r="DS105" s="67"/>
      <c r="DT105" s="67"/>
      <c r="DU105" s="67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</row>
    <row r="106" spans="1:194" x14ac:dyDescent="0.25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  <c r="AI106" s="67"/>
      <c r="AJ106" s="67"/>
      <c r="AK106" s="67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  <c r="BI106" s="67"/>
      <c r="BJ106" s="67"/>
      <c r="BK106" s="67"/>
      <c r="BL106" s="6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A106" s="67"/>
      <c r="CB106" s="67"/>
      <c r="CC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  <c r="CR106" s="67"/>
      <c r="CS106" s="67"/>
      <c r="CT106" s="67"/>
      <c r="CU106" s="67"/>
      <c r="CV106" s="67"/>
      <c r="CW106" s="67"/>
      <c r="CX106" s="67"/>
      <c r="CY106" s="67"/>
      <c r="CZ106" s="67"/>
      <c r="DA106" s="67"/>
      <c r="DB106" s="67"/>
      <c r="DC106" s="67"/>
      <c r="DD106" s="67"/>
      <c r="DE106" s="67"/>
      <c r="DF106" s="67"/>
      <c r="DG106" s="67"/>
      <c r="DH106" s="67"/>
      <c r="DI106" s="67"/>
      <c r="DJ106" s="67"/>
      <c r="DK106" s="67"/>
      <c r="DL106" s="67"/>
      <c r="DM106" s="67"/>
      <c r="DN106" s="67"/>
      <c r="DO106" s="67"/>
      <c r="DP106" s="67"/>
      <c r="DQ106" s="67"/>
      <c r="DR106" s="67"/>
      <c r="DS106" s="67"/>
      <c r="DT106" s="67"/>
      <c r="DU106" s="67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6"/>
      <c r="FS106" s="6"/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</row>
    <row r="107" spans="1:194" x14ac:dyDescent="0.25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  <c r="AK107" s="67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  <c r="BI107" s="67"/>
      <c r="BJ107" s="67"/>
      <c r="BK107" s="67"/>
      <c r="BL107" s="6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A107" s="67"/>
      <c r="CB107" s="67"/>
      <c r="CC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  <c r="CR107" s="67"/>
      <c r="CS107" s="67"/>
      <c r="CT107" s="67"/>
      <c r="CU107" s="67"/>
      <c r="CV107" s="67"/>
      <c r="CW107" s="67"/>
      <c r="CX107" s="67"/>
      <c r="CY107" s="67"/>
      <c r="CZ107" s="67"/>
      <c r="DA107" s="67"/>
      <c r="DB107" s="67"/>
      <c r="DC107" s="67"/>
      <c r="DD107" s="67"/>
      <c r="DE107" s="67"/>
      <c r="DF107" s="67"/>
      <c r="DG107" s="67"/>
      <c r="DH107" s="67"/>
      <c r="DI107" s="67"/>
      <c r="DJ107" s="67"/>
      <c r="DK107" s="67"/>
      <c r="DL107" s="67"/>
      <c r="DM107" s="67"/>
      <c r="DN107" s="67"/>
      <c r="DO107" s="67"/>
      <c r="DP107" s="67"/>
      <c r="DQ107" s="67"/>
      <c r="DR107" s="67"/>
      <c r="DS107" s="67"/>
      <c r="DT107" s="67"/>
      <c r="DU107" s="67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</row>
    <row r="108" spans="1:194" x14ac:dyDescent="0.25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  <c r="AK108" s="67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  <c r="BI108" s="67"/>
      <c r="BJ108" s="67"/>
      <c r="BK108" s="67"/>
      <c r="BL108" s="6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A108" s="67"/>
      <c r="CB108" s="67"/>
      <c r="CC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  <c r="CR108" s="67"/>
      <c r="CS108" s="67"/>
      <c r="CT108" s="67"/>
      <c r="CU108" s="67"/>
      <c r="CV108" s="67"/>
      <c r="CW108" s="67"/>
      <c r="CX108" s="67"/>
      <c r="CY108" s="67"/>
      <c r="CZ108" s="67"/>
      <c r="DA108" s="67"/>
      <c r="DB108" s="67"/>
      <c r="DC108" s="67"/>
      <c r="DD108" s="67"/>
      <c r="DE108" s="67"/>
      <c r="DF108" s="67"/>
      <c r="DG108" s="67"/>
      <c r="DH108" s="67"/>
      <c r="DI108" s="67"/>
      <c r="DJ108" s="67"/>
      <c r="DK108" s="67"/>
      <c r="DL108" s="67"/>
      <c r="DM108" s="67"/>
      <c r="DN108" s="67"/>
      <c r="DO108" s="67"/>
      <c r="DP108" s="67"/>
      <c r="DQ108" s="67"/>
      <c r="DR108" s="67"/>
      <c r="DS108" s="67"/>
      <c r="DT108" s="67"/>
      <c r="DU108" s="67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</row>
    <row r="109" spans="1:194" x14ac:dyDescent="0.25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67"/>
      <c r="AJ109" s="67"/>
      <c r="AK109" s="67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  <c r="BI109" s="67"/>
      <c r="BJ109" s="67"/>
      <c r="BK109" s="67"/>
      <c r="BL109" s="6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A109" s="67"/>
      <c r="CB109" s="67"/>
      <c r="CC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  <c r="CR109" s="67"/>
      <c r="CS109" s="67"/>
      <c r="CT109" s="67"/>
      <c r="CU109" s="67"/>
      <c r="CV109" s="67"/>
      <c r="CW109" s="67"/>
      <c r="CX109" s="67"/>
      <c r="CY109" s="67"/>
      <c r="CZ109" s="67"/>
      <c r="DA109" s="67"/>
      <c r="DB109" s="67"/>
      <c r="DC109" s="67"/>
      <c r="DD109" s="67"/>
      <c r="DE109" s="67"/>
      <c r="DF109" s="67"/>
      <c r="DG109" s="67"/>
      <c r="DH109" s="67"/>
      <c r="DI109" s="67"/>
      <c r="DJ109" s="67"/>
      <c r="DK109" s="67"/>
      <c r="DL109" s="67"/>
      <c r="DM109" s="67"/>
      <c r="DN109" s="67"/>
      <c r="DO109" s="67"/>
      <c r="DP109" s="67"/>
      <c r="DQ109" s="67"/>
      <c r="DR109" s="67"/>
      <c r="DS109" s="67"/>
      <c r="DT109" s="67"/>
      <c r="DU109" s="67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</row>
    <row r="110" spans="1:194" x14ac:dyDescent="0.25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  <c r="AK110" s="67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  <c r="BI110" s="67"/>
      <c r="BJ110" s="67"/>
      <c r="BK110" s="67"/>
      <c r="BL110" s="6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A110" s="67"/>
      <c r="CB110" s="67"/>
      <c r="CC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  <c r="CR110" s="67"/>
      <c r="CS110" s="67"/>
      <c r="CT110" s="67"/>
      <c r="CU110" s="67"/>
      <c r="CV110" s="67"/>
      <c r="CW110" s="67"/>
      <c r="CX110" s="67"/>
      <c r="CY110" s="67"/>
      <c r="CZ110" s="67"/>
      <c r="DA110" s="67"/>
      <c r="DB110" s="67"/>
      <c r="DC110" s="67"/>
      <c r="DD110" s="67"/>
      <c r="DE110" s="67"/>
      <c r="DF110" s="67"/>
      <c r="DG110" s="67"/>
      <c r="DH110" s="67"/>
      <c r="DI110" s="67"/>
      <c r="DJ110" s="67"/>
      <c r="DK110" s="67"/>
      <c r="DL110" s="67"/>
      <c r="DM110" s="67"/>
      <c r="DN110" s="67"/>
      <c r="DO110" s="67"/>
      <c r="DP110" s="67"/>
      <c r="DQ110" s="67"/>
      <c r="DR110" s="67"/>
      <c r="DS110" s="67"/>
      <c r="DT110" s="67"/>
      <c r="DU110" s="67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</row>
    <row r="111" spans="1:194" x14ac:dyDescent="0.25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  <c r="AK111" s="67"/>
      <c r="AL111" s="67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  <c r="BI111" s="67"/>
      <c r="BJ111" s="67"/>
      <c r="BK111" s="67"/>
      <c r="BL111" s="6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A111" s="67"/>
      <c r="CB111" s="67"/>
      <c r="CC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  <c r="CR111" s="67"/>
      <c r="CS111" s="67"/>
      <c r="CT111" s="67"/>
      <c r="CU111" s="67"/>
      <c r="CV111" s="67"/>
      <c r="CW111" s="67"/>
      <c r="CX111" s="67"/>
      <c r="CY111" s="67"/>
      <c r="CZ111" s="67"/>
      <c r="DA111" s="67"/>
      <c r="DB111" s="67"/>
      <c r="DC111" s="67"/>
      <c r="DD111" s="67"/>
      <c r="DE111" s="67"/>
      <c r="DF111" s="67"/>
      <c r="DG111" s="67"/>
      <c r="DH111" s="67"/>
      <c r="DI111" s="67"/>
      <c r="DJ111" s="67"/>
      <c r="DK111" s="67"/>
      <c r="DL111" s="67"/>
      <c r="DM111" s="67"/>
      <c r="DN111" s="67"/>
      <c r="DO111" s="67"/>
      <c r="DP111" s="67"/>
      <c r="DQ111" s="67"/>
      <c r="DR111" s="67"/>
      <c r="DS111" s="67"/>
      <c r="DT111" s="67"/>
      <c r="DU111" s="67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</row>
    <row r="112" spans="1:194" x14ac:dyDescent="0.25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  <c r="BI112" s="67"/>
      <c r="BJ112" s="67"/>
      <c r="BK112" s="67"/>
      <c r="BL112" s="6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A112" s="67"/>
      <c r="CB112" s="67"/>
      <c r="CC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  <c r="CR112" s="67"/>
      <c r="CS112" s="67"/>
      <c r="CT112" s="67"/>
      <c r="CU112" s="67"/>
      <c r="CV112" s="67"/>
      <c r="CW112" s="67"/>
      <c r="CX112" s="67"/>
      <c r="CY112" s="67"/>
      <c r="CZ112" s="67"/>
      <c r="DA112" s="67"/>
      <c r="DB112" s="67"/>
      <c r="DC112" s="67"/>
      <c r="DD112" s="67"/>
      <c r="DE112" s="67"/>
      <c r="DF112" s="67"/>
      <c r="DG112" s="67"/>
      <c r="DH112" s="67"/>
      <c r="DI112" s="67"/>
      <c r="DJ112" s="67"/>
      <c r="DK112" s="67"/>
      <c r="DL112" s="67"/>
      <c r="DM112" s="67"/>
      <c r="DN112" s="67"/>
      <c r="DO112" s="67"/>
      <c r="DP112" s="67"/>
      <c r="DQ112" s="67"/>
      <c r="DR112" s="67"/>
      <c r="DS112" s="67"/>
      <c r="DT112" s="67"/>
      <c r="DU112" s="67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</row>
    <row r="113" spans="1:194" x14ac:dyDescent="0.25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  <c r="AK113" s="67"/>
      <c r="AL113" s="67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  <c r="BI113" s="67"/>
      <c r="BJ113" s="67"/>
      <c r="BK113" s="67"/>
      <c r="BL113" s="6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A113" s="67"/>
      <c r="CB113" s="67"/>
      <c r="CC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  <c r="CR113" s="67"/>
      <c r="CS113" s="67"/>
      <c r="CT113" s="67"/>
      <c r="CU113" s="67"/>
      <c r="CV113" s="67"/>
      <c r="CW113" s="67"/>
      <c r="CX113" s="67"/>
      <c r="CY113" s="67"/>
      <c r="CZ113" s="67"/>
      <c r="DA113" s="67"/>
      <c r="DB113" s="67"/>
      <c r="DC113" s="67"/>
      <c r="DD113" s="67"/>
      <c r="DE113" s="67"/>
      <c r="DF113" s="67"/>
      <c r="DG113" s="67"/>
      <c r="DH113" s="67"/>
      <c r="DI113" s="67"/>
      <c r="DJ113" s="67"/>
      <c r="DK113" s="67"/>
      <c r="DL113" s="67"/>
      <c r="DM113" s="67"/>
      <c r="DN113" s="67"/>
      <c r="DO113" s="67"/>
      <c r="DP113" s="67"/>
      <c r="DQ113" s="67"/>
      <c r="DR113" s="67"/>
      <c r="DS113" s="67"/>
      <c r="DT113" s="67"/>
      <c r="DU113" s="67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</row>
    <row r="114" spans="1:194" x14ac:dyDescent="0.25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  <c r="AK114" s="67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/>
      <c r="BH114" s="67"/>
      <c r="BI114" s="67"/>
      <c r="BJ114" s="67"/>
      <c r="BK114" s="67"/>
      <c r="BL114" s="6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A114" s="67"/>
      <c r="CB114" s="67"/>
      <c r="CC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  <c r="CR114" s="67"/>
      <c r="CS114" s="67"/>
      <c r="CT114" s="67"/>
      <c r="CU114" s="67"/>
      <c r="CV114" s="67"/>
      <c r="CW114" s="67"/>
      <c r="CX114" s="67"/>
      <c r="CY114" s="67"/>
      <c r="CZ114" s="67"/>
      <c r="DA114" s="67"/>
      <c r="DB114" s="67"/>
      <c r="DC114" s="67"/>
      <c r="DD114" s="67"/>
      <c r="DE114" s="67"/>
      <c r="DF114" s="67"/>
      <c r="DG114" s="67"/>
      <c r="DH114" s="67"/>
      <c r="DI114" s="67"/>
      <c r="DJ114" s="67"/>
      <c r="DK114" s="67"/>
      <c r="DL114" s="67"/>
      <c r="DM114" s="67"/>
      <c r="DN114" s="67"/>
      <c r="DO114" s="67"/>
      <c r="DP114" s="67"/>
      <c r="DQ114" s="67"/>
      <c r="DR114" s="67"/>
      <c r="DS114" s="67"/>
      <c r="DT114" s="67"/>
      <c r="DU114" s="67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  <c r="ER114" s="6"/>
      <c r="ES114" s="6"/>
      <c r="ET114" s="6"/>
      <c r="EU114" s="6"/>
      <c r="EV114" s="6"/>
      <c r="EW114" s="6"/>
      <c r="EX114" s="6"/>
      <c r="EY114" s="6"/>
      <c r="EZ114" s="6"/>
      <c r="FA114" s="6"/>
      <c r="FB114" s="6"/>
      <c r="FC114" s="6"/>
      <c r="FD114" s="6"/>
      <c r="FE114" s="6"/>
      <c r="FF114" s="6"/>
      <c r="FG114" s="6"/>
      <c r="FH114" s="6"/>
      <c r="FI114" s="6"/>
      <c r="FJ114" s="6"/>
      <c r="FK114" s="6"/>
      <c r="FL114" s="6"/>
      <c r="FM114" s="6"/>
      <c r="FN114" s="6"/>
      <c r="FO114" s="6"/>
      <c r="FP114" s="6"/>
      <c r="FQ114" s="6"/>
      <c r="FR114" s="6"/>
      <c r="FS114" s="6"/>
      <c r="FT114" s="6"/>
      <c r="FU114" s="6"/>
      <c r="FV114" s="6"/>
      <c r="FW114" s="6"/>
      <c r="FX114" s="6"/>
      <c r="FY114" s="6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</row>
    <row r="115" spans="1:194" x14ac:dyDescent="0.25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  <c r="BH115" s="67"/>
      <c r="BI115" s="67"/>
      <c r="BJ115" s="67"/>
      <c r="BK115" s="67"/>
      <c r="BL115" s="6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A115" s="67"/>
      <c r="CB115" s="67"/>
      <c r="CC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  <c r="CR115" s="67"/>
      <c r="CS115" s="67"/>
      <c r="CT115" s="67"/>
      <c r="CU115" s="67"/>
      <c r="CV115" s="67"/>
      <c r="CW115" s="67"/>
      <c r="CX115" s="67"/>
      <c r="CY115" s="67"/>
      <c r="CZ115" s="67"/>
      <c r="DA115" s="67"/>
      <c r="DB115" s="67"/>
      <c r="DC115" s="67"/>
      <c r="DD115" s="67"/>
      <c r="DE115" s="67"/>
      <c r="DF115" s="67"/>
      <c r="DG115" s="67"/>
      <c r="DH115" s="67"/>
      <c r="DI115" s="67"/>
      <c r="DJ115" s="67"/>
      <c r="DK115" s="67"/>
      <c r="DL115" s="67"/>
      <c r="DM115" s="67"/>
      <c r="DN115" s="67"/>
      <c r="DO115" s="67"/>
      <c r="DP115" s="67"/>
      <c r="DQ115" s="67"/>
      <c r="DR115" s="67"/>
      <c r="DS115" s="67"/>
      <c r="DT115" s="67"/>
      <c r="DU115" s="67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</row>
    <row r="116" spans="1:194" x14ac:dyDescent="0.25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  <c r="AK116" s="67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  <c r="BH116" s="67"/>
      <c r="BI116" s="67"/>
      <c r="BJ116" s="67"/>
      <c r="BK116" s="67"/>
      <c r="BL116" s="6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A116" s="67"/>
      <c r="CB116" s="67"/>
      <c r="CC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  <c r="CR116" s="67"/>
      <c r="CS116" s="67"/>
      <c r="CT116" s="67"/>
      <c r="CU116" s="67"/>
      <c r="CV116" s="67"/>
      <c r="CW116" s="67"/>
      <c r="CX116" s="67"/>
      <c r="CY116" s="67"/>
      <c r="CZ116" s="67"/>
      <c r="DA116" s="67"/>
      <c r="DB116" s="67"/>
      <c r="DC116" s="67"/>
      <c r="DD116" s="67"/>
      <c r="DE116" s="67"/>
      <c r="DF116" s="67"/>
      <c r="DG116" s="67"/>
      <c r="DH116" s="67"/>
      <c r="DI116" s="67"/>
      <c r="DJ116" s="67"/>
      <c r="DK116" s="67"/>
      <c r="DL116" s="67"/>
      <c r="DM116" s="67"/>
      <c r="DN116" s="67"/>
      <c r="DO116" s="67"/>
      <c r="DP116" s="67"/>
      <c r="DQ116" s="67"/>
      <c r="DR116" s="67"/>
      <c r="DS116" s="67"/>
      <c r="DT116" s="67"/>
      <c r="DU116" s="67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B116" s="6"/>
      <c r="GC116" s="6"/>
      <c r="GD116" s="6"/>
      <c r="GE116" s="6"/>
      <c r="GF116" s="6"/>
      <c r="GG116" s="6"/>
      <c r="GH116" s="6"/>
      <c r="GI116" s="6"/>
      <c r="GJ116" s="6"/>
      <c r="GK116" s="6"/>
      <c r="GL116" s="6"/>
    </row>
    <row r="117" spans="1:194" x14ac:dyDescent="0.25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  <c r="AK117" s="67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  <c r="BH117" s="67"/>
      <c r="BI117" s="67"/>
      <c r="BJ117" s="67"/>
      <c r="BK117" s="67"/>
      <c r="BL117" s="67"/>
      <c r="BM117" s="67"/>
      <c r="BN117" s="67"/>
      <c r="BO117" s="67"/>
      <c r="BP117" s="67"/>
      <c r="BQ117" s="67"/>
      <c r="BR117" s="67"/>
      <c r="BS117" s="67"/>
      <c r="BT117" s="67"/>
      <c r="BU117" s="67"/>
      <c r="BV117" s="67"/>
      <c r="BW117" s="67"/>
      <c r="BX117" s="67"/>
      <c r="BY117" s="67"/>
      <c r="BZ117" s="67"/>
      <c r="CA117" s="67"/>
      <c r="CB117" s="67"/>
      <c r="CC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  <c r="CR117" s="67"/>
      <c r="CS117" s="67"/>
      <c r="CT117" s="67"/>
      <c r="CU117" s="67"/>
      <c r="CV117" s="67"/>
      <c r="CW117" s="67"/>
      <c r="CX117" s="67"/>
      <c r="CY117" s="67"/>
      <c r="CZ117" s="67"/>
      <c r="DA117" s="67"/>
      <c r="DB117" s="67"/>
      <c r="DC117" s="67"/>
      <c r="DD117" s="67"/>
      <c r="DE117" s="67"/>
      <c r="DF117" s="67"/>
      <c r="DG117" s="67"/>
      <c r="DH117" s="67"/>
      <c r="DI117" s="67"/>
      <c r="DJ117" s="67"/>
      <c r="DK117" s="67"/>
      <c r="DL117" s="67"/>
      <c r="DM117" s="67"/>
      <c r="DN117" s="67"/>
      <c r="DO117" s="67"/>
      <c r="DP117" s="67"/>
      <c r="DQ117" s="67"/>
      <c r="DR117" s="67"/>
      <c r="DS117" s="67"/>
      <c r="DT117" s="67"/>
      <c r="DU117" s="67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</row>
    <row r="118" spans="1:194" x14ac:dyDescent="0.25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  <c r="AK118" s="67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  <c r="BH118" s="67"/>
      <c r="BI118" s="67"/>
      <c r="BJ118" s="67"/>
      <c r="BK118" s="67"/>
      <c r="BL118" s="67"/>
      <c r="BM118" s="67"/>
      <c r="BN118" s="67"/>
      <c r="BO118" s="67"/>
      <c r="BP118" s="67"/>
      <c r="BQ118" s="67"/>
      <c r="BR118" s="67"/>
      <c r="BS118" s="67"/>
      <c r="BT118" s="67"/>
      <c r="BU118" s="67"/>
      <c r="BV118" s="67"/>
      <c r="BW118" s="67"/>
      <c r="BX118" s="67"/>
      <c r="BY118" s="67"/>
      <c r="BZ118" s="67"/>
      <c r="CA118" s="67"/>
      <c r="CB118" s="67"/>
      <c r="CC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  <c r="CR118" s="67"/>
      <c r="CS118" s="67"/>
      <c r="CT118" s="67"/>
      <c r="CU118" s="67"/>
      <c r="CV118" s="67"/>
      <c r="CW118" s="67"/>
      <c r="CX118" s="67"/>
      <c r="CY118" s="67"/>
      <c r="CZ118" s="67"/>
      <c r="DA118" s="67"/>
      <c r="DB118" s="67"/>
      <c r="DC118" s="67"/>
      <c r="DD118" s="67"/>
      <c r="DE118" s="67"/>
      <c r="DF118" s="67"/>
      <c r="DG118" s="67"/>
      <c r="DH118" s="67"/>
      <c r="DI118" s="67"/>
      <c r="DJ118" s="67"/>
      <c r="DK118" s="67"/>
      <c r="DL118" s="67"/>
      <c r="DM118" s="67"/>
      <c r="DN118" s="67"/>
      <c r="DO118" s="67"/>
      <c r="DP118" s="67"/>
      <c r="DQ118" s="67"/>
      <c r="DR118" s="67"/>
      <c r="DS118" s="67"/>
      <c r="DT118" s="67"/>
      <c r="DU118" s="67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  <c r="ER118" s="6"/>
      <c r="ES118" s="6"/>
      <c r="ET118" s="6"/>
      <c r="EU118" s="6"/>
      <c r="EV118" s="6"/>
      <c r="EW118" s="6"/>
      <c r="EX118" s="6"/>
      <c r="EY118" s="6"/>
      <c r="EZ118" s="6"/>
      <c r="FA118" s="6"/>
      <c r="FB118" s="6"/>
      <c r="FC118" s="6"/>
      <c r="FD118" s="6"/>
      <c r="FE118" s="6"/>
      <c r="FF118" s="6"/>
      <c r="FG118" s="6"/>
      <c r="FH118" s="6"/>
      <c r="FI118" s="6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</row>
    <row r="119" spans="1:194" x14ac:dyDescent="0.25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  <c r="AK119" s="67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  <c r="BH119" s="67"/>
      <c r="BI119" s="67"/>
      <c r="BJ119" s="67"/>
      <c r="BK119" s="67"/>
      <c r="BL119" s="6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A119" s="67"/>
      <c r="CB119" s="67"/>
      <c r="CC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  <c r="CR119" s="67"/>
      <c r="CS119" s="67"/>
      <c r="CT119" s="67"/>
      <c r="CU119" s="67"/>
      <c r="CV119" s="67"/>
      <c r="CW119" s="67"/>
      <c r="CX119" s="67"/>
      <c r="CY119" s="67"/>
      <c r="CZ119" s="67"/>
      <c r="DA119" s="67"/>
      <c r="DB119" s="67"/>
      <c r="DC119" s="67"/>
      <c r="DD119" s="67"/>
      <c r="DE119" s="67"/>
      <c r="DF119" s="67"/>
      <c r="DG119" s="67"/>
      <c r="DH119" s="67"/>
      <c r="DI119" s="67"/>
      <c r="DJ119" s="67"/>
      <c r="DK119" s="67"/>
      <c r="DL119" s="67"/>
      <c r="DM119" s="67"/>
      <c r="DN119" s="67"/>
      <c r="DO119" s="67"/>
      <c r="DP119" s="67"/>
      <c r="DQ119" s="67"/>
      <c r="DR119" s="67"/>
      <c r="DS119" s="67"/>
      <c r="DT119" s="67"/>
      <c r="DU119" s="67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 s="6"/>
      <c r="GL119" s="6"/>
    </row>
    <row r="120" spans="1:194" x14ac:dyDescent="0.25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  <c r="AK120" s="67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  <c r="BI120" s="67"/>
      <c r="BJ120" s="67"/>
      <c r="BK120" s="67"/>
      <c r="BL120" s="6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A120" s="67"/>
      <c r="CB120" s="67"/>
      <c r="CC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  <c r="CR120" s="67"/>
      <c r="CS120" s="67"/>
      <c r="CT120" s="67"/>
      <c r="CU120" s="67"/>
      <c r="CV120" s="67"/>
      <c r="CW120" s="67"/>
      <c r="CX120" s="67"/>
      <c r="CY120" s="67"/>
      <c r="CZ120" s="67"/>
      <c r="DA120" s="67"/>
      <c r="DB120" s="67"/>
      <c r="DC120" s="67"/>
      <c r="DD120" s="67"/>
      <c r="DE120" s="67"/>
      <c r="DF120" s="67"/>
      <c r="DG120" s="67"/>
      <c r="DH120" s="67"/>
      <c r="DI120" s="67"/>
      <c r="DJ120" s="67"/>
      <c r="DK120" s="67"/>
      <c r="DL120" s="67"/>
      <c r="DM120" s="67"/>
      <c r="DN120" s="67"/>
      <c r="DO120" s="67"/>
      <c r="DP120" s="67"/>
      <c r="DQ120" s="67"/>
      <c r="DR120" s="67"/>
      <c r="DS120" s="67"/>
      <c r="DT120" s="67"/>
      <c r="DU120" s="67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6"/>
      <c r="FH120" s="6"/>
      <c r="FI120" s="6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"/>
      <c r="GK120" s="6"/>
      <c r="GL120" s="6"/>
    </row>
    <row r="121" spans="1:194" x14ac:dyDescent="0.25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  <c r="AK121" s="67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  <c r="BI121" s="67"/>
      <c r="BJ121" s="67"/>
      <c r="BK121" s="67"/>
      <c r="BL121" s="6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A121" s="67"/>
      <c r="CB121" s="67"/>
      <c r="CC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  <c r="CR121" s="67"/>
      <c r="CS121" s="67"/>
      <c r="CT121" s="67"/>
      <c r="CU121" s="67"/>
      <c r="CV121" s="67"/>
      <c r="CW121" s="67"/>
      <c r="CX121" s="67"/>
      <c r="CY121" s="67"/>
      <c r="CZ121" s="67"/>
      <c r="DA121" s="67"/>
      <c r="DB121" s="67"/>
      <c r="DC121" s="67"/>
      <c r="DD121" s="67"/>
      <c r="DE121" s="67"/>
      <c r="DF121" s="67"/>
      <c r="DG121" s="67"/>
      <c r="DH121" s="67"/>
      <c r="DI121" s="67"/>
      <c r="DJ121" s="67"/>
      <c r="DK121" s="67"/>
      <c r="DL121" s="67"/>
      <c r="DM121" s="67"/>
      <c r="DN121" s="67"/>
      <c r="DO121" s="67"/>
      <c r="DP121" s="67"/>
      <c r="DQ121" s="67"/>
      <c r="DR121" s="67"/>
      <c r="DS121" s="67"/>
      <c r="DT121" s="67"/>
      <c r="DU121" s="67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</row>
    <row r="122" spans="1:194" x14ac:dyDescent="0.25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  <c r="AI122" s="67"/>
      <c r="AJ122" s="67"/>
      <c r="AK122" s="67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  <c r="BI122" s="67"/>
      <c r="BJ122" s="67"/>
      <c r="BK122" s="67"/>
      <c r="BL122" s="6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A122" s="67"/>
      <c r="CB122" s="67"/>
      <c r="CC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  <c r="CR122" s="67"/>
      <c r="CS122" s="67"/>
      <c r="CT122" s="67"/>
      <c r="CU122" s="67"/>
      <c r="CV122" s="67"/>
      <c r="CW122" s="67"/>
      <c r="CX122" s="67"/>
      <c r="CY122" s="67"/>
      <c r="CZ122" s="67"/>
      <c r="DA122" s="67"/>
      <c r="DB122" s="67"/>
      <c r="DC122" s="67"/>
      <c r="DD122" s="67"/>
      <c r="DE122" s="67"/>
      <c r="DF122" s="67"/>
      <c r="DG122" s="67"/>
      <c r="DH122" s="67"/>
      <c r="DI122" s="67"/>
      <c r="DJ122" s="67"/>
      <c r="DK122" s="67"/>
      <c r="DL122" s="67"/>
      <c r="DM122" s="67"/>
      <c r="DN122" s="67"/>
      <c r="DO122" s="67"/>
      <c r="DP122" s="67"/>
      <c r="DQ122" s="67"/>
      <c r="DR122" s="67"/>
      <c r="DS122" s="67"/>
      <c r="DT122" s="67"/>
      <c r="DU122" s="67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  <c r="ER122" s="6"/>
      <c r="ES122" s="6"/>
      <c r="ET122" s="6"/>
      <c r="EU122" s="6"/>
      <c r="EV122" s="6"/>
      <c r="EW122" s="6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/>
      <c r="FL122" s="6"/>
      <c r="FM122" s="6"/>
      <c r="FN122" s="6"/>
      <c r="FO122" s="6"/>
      <c r="FP122" s="6"/>
      <c r="FQ122" s="6"/>
      <c r="FR122" s="6"/>
      <c r="FS122" s="6"/>
      <c r="FT122" s="6"/>
      <c r="FU122" s="6"/>
      <c r="FV122" s="6"/>
      <c r="FW122" s="6"/>
      <c r="FX122" s="6"/>
      <c r="FY122" s="6"/>
      <c r="FZ122" s="6"/>
      <c r="GA122" s="6"/>
      <c r="GB122" s="6"/>
      <c r="GC122" s="6"/>
      <c r="GD122" s="6"/>
      <c r="GE122" s="6"/>
      <c r="GF122" s="6"/>
      <c r="GG122" s="6"/>
      <c r="GH122" s="6"/>
      <c r="GI122" s="6"/>
      <c r="GJ122" s="6"/>
      <c r="GK122" s="6"/>
      <c r="GL122" s="6"/>
    </row>
    <row r="123" spans="1:194" x14ac:dyDescent="0.25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  <c r="AK123" s="67"/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  <c r="BI123" s="67"/>
      <c r="BJ123" s="67"/>
      <c r="BK123" s="67"/>
      <c r="BL123" s="6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A123" s="67"/>
      <c r="CB123" s="67"/>
      <c r="CC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  <c r="CR123" s="67"/>
      <c r="CS123" s="67"/>
      <c r="CT123" s="67"/>
      <c r="CU123" s="67"/>
      <c r="CV123" s="67"/>
      <c r="CW123" s="67"/>
      <c r="CX123" s="67"/>
      <c r="CY123" s="67"/>
      <c r="CZ123" s="67"/>
      <c r="DA123" s="67"/>
      <c r="DB123" s="67"/>
      <c r="DC123" s="67"/>
      <c r="DD123" s="67"/>
      <c r="DE123" s="67"/>
      <c r="DF123" s="67"/>
      <c r="DG123" s="67"/>
      <c r="DH123" s="67"/>
      <c r="DI123" s="67"/>
      <c r="DJ123" s="67"/>
      <c r="DK123" s="67"/>
      <c r="DL123" s="67"/>
      <c r="DM123" s="67"/>
      <c r="DN123" s="67"/>
      <c r="DO123" s="67"/>
      <c r="DP123" s="67"/>
      <c r="DQ123" s="67"/>
      <c r="DR123" s="67"/>
      <c r="DS123" s="67"/>
      <c r="DT123" s="67"/>
      <c r="DU123" s="67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  <c r="GK123" s="6"/>
      <c r="GL123" s="6"/>
    </row>
    <row r="124" spans="1:194" x14ac:dyDescent="0.25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  <c r="AK124" s="67"/>
      <c r="AL124" s="67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  <c r="BH124" s="67"/>
      <c r="BI124" s="67"/>
      <c r="BJ124" s="67"/>
      <c r="BK124" s="67"/>
      <c r="BL124" s="6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A124" s="67"/>
      <c r="CB124" s="67"/>
      <c r="CC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  <c r="CR124" s="67"/>
      <c r="CS124" s="67"/>
      <c r="CT124" s="67"/>
      <c r="CU124" s="67"/>
      <c r="CV124" s="67"/>
      <c r="CW124" s="67"/>
      <c r="CX124" s="67"/>
      <c r="CY124" s="67"/>
      <c r="CZ124" s="67"/>
      <c r="DA124" s="67"/>
      <c r="DB124" s="67"/>
      <c r="DC124" s="67"/>
      <c r="DD124" s="67"/>
      <c r="DE124" s="67"/>
      <c r="DF124" s="67"/>
      <c r="DG124" s="67"/>
      <c r="DH124" s="67"/>
      <c r="DI124" s="67"/>
      <c r="DJ124" s="67"/>
      <c r="DK124" s="67"/>
      <c r="DL124" s="67"/>
      <c r="DM124" s="67"/>
      <c r="DN124" s="67"/>
      <c r="DO124" s="67"/>
      <c r="DP124" s="67"/>
      <c r="DQ124" s="67"/>
      <c r="DR124" s="67"/>
      <c r="DS124" s="67"/>
      <c r="DT124" s="67"/>
      <c r="DU124" s="67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</row>
    <row r="125" spans="1:194" x14ac:dyDescent="0.25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  <c r="AK125" s="67"/>
      <c r="AL125" s="67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  <c r="BH125" s="67"/>
      <c r="BI125" s="67"/>
      <c r="BJ125" s="67"/>
      <c r="BK125" s="67"/>
      <c r="BL125" s="6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A125" s="67"/>
      <c r="CB125" s="67"/>
      <c r="CC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  <c r="CR125" s="67"/>
      <c r="CS125" s="67"/>
      <c r="CT125" s="67"/>
      <c r="CU125" s="67"/>
      <c r="CV125" s="67"/>
      <c r="CW125" s="67"/>
      <c r="CX125" s="67"/>
      <c r="CY125" s="67"/>
      <c r="CZ125" s="67"/>
      <c r="DA125" s="67"/>
      <c r="DB125" s="67"/>
      <c r="DC125" s="67"/>
      <c r="DD125" s="67"/>
      <c r="DE125" s="67"/>
      <c r="DF125" s="67"/>
      <c r="DG125" s="67"/>
      <c r="DH125" s="67"/>
      <c r="DI125" s="67"/>
      <c r="DJ125" s="67"/>
      <c r="DK125" s="67"/>
      <c r="DL125" s="67"/>
      <c r="DM125" s="67"/>
      <c r="DN125" s="67"/>
      <c r="DO125" s="67"/>
      <c r="DP125" s="67"/>
      <c r="DQ125" s="67"/>
      <c r="DR125" s="67"/>
      <c r="DS125" s="67"/>
      <c r="DT125" s="67"/>
      <c r="DU125" s="67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/>
      <c r="GF125" s="6"/>
      <c r="GG125" s="6"/>
      <c r="GH125" s="6"/>
      <c r="GI125" s="6"/>
      <c r="GJ125" s="6"/>
      <c r="GK125" s="6"/>
      <c r="GL125" s="6"/>
    </row>
    <row r="126" spans="1:194" x14ac:dyDescent="0.25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  <c r="BI126" s="67"/>
      <c r="BJ126" s="67"/>
      <c r="BK126" s="67"/>
      <c r="BL126" s="6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A126" s="67"/>
      <c r="CB126" s="67"/>
      <c r="CC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  <c r="CR126" s="67"/>
      <c r="CS126" s="67"/>
      <c r="CT126" s="67"/>
      <c r="CU126" s="67"/>
      <c r="CV126" s="67"/>
      <c r="CW126" s="67"/>
      <c r="CX126" s="67"/>
      <c r="CY126" s="67"/>
      <c r="CZ126" s="67"/>
      <c r="DA126" s="67"/>
      <c r="DB126" s="67"/>
      <c r="DC126" s="67"/>
      <c r="DD126" s="67"/>
      <c r="DE126" s="67"/>
      <c r="DF126" s="67"/>
      <c r="DG126" s="67"/>
      <c r="DH126" s="67"/>
      <c r="DI126" s="67"/>
      <c r="DJ126" s="67"/>
      <c r="DK126" s="67"/>
      <c r="DL126" s="67"/>
      <c r="DM126" s="67"/>
      <c r="DN126" s="67"/>
      <c r="DO126" s="67"/>
      <c r="DP126" s="67"/>
      <c r="DQ126" s="67"/>
      <c r="DR126" s="67"/>
      <c r="DS126" s="67"/>
      <c r="DT126" s="67"/>
      <c r="DU126" s="67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</row>
    <row r="127" spans="1:194" x14ac:dyDescent="0.25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  <c r="BI127" s="67"/>
      <c r="BJ127" s="67"/>
      <c r="BK127" s="67"/>
      <c r="BL127" s="6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A127" s="67"/>
      <c r="CB127" s="67"/>
      <c r="CC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  <c r="CR127" s="67"/>
      <c r="CS127" s="67"/>
      <c r="CT127" s="67"/>
      <c r="CU127" s="67"/>
      <c r="CV127" s="67"/>
      <c r="CW127" s="67"/>
      <c r="CX127" s="67"/>
      <c r="CY127" s="67"/>
      <c r="CZ127" s="67"/>
      <c r="DA127" s="67"/>
      <c r="DB127" s="67"/>
      <c r="DC127" s="67"/>
      <c r="DD127" s="67"/>
      <c r="DE127" s="67"/>
      <c r="DF127" s="67"/>
      <c r="DG127" s="67"/>
      <c r="DH127" s="67"/>
      <c r="DI127" s="67"/>
      <c r="DJ127" s="67"/>
      <c r="DK127" s="67"/>
      <c r="DL127" s="67"/>
      <c r="DM127" s="67"/>
      <c r="DN127" s="67"/>
      <c r="DO127" s="67"/>
      <c r="DP127" s="67"/>
      <c r="DQ127" s="67"/>
      <c r="DR127" s="67"/>
      <c r="DS127" s="67"/>
      <c r="DT127" s="67"/>
      <c r="DU127" s="67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  <c r="GK127" s="6"/>
      <c r="GL127" s="6"/>
    </row>
    <row r="128" spans="1:194" x14ac:dyDescent="0.25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  <c r="AK128" s="67"/>
      <c r="AL128" s="67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  <c r="BI128" s="67"/>
      <c r="BJ128" s="67"/>
      <c r="BK128" s="67"/>
      <c r="BL128" s="6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A128" s="67"/>
      <c r="CB128" s="67"/>
      <c r="CC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  <c r="CR128" s="67"/>
      <c r="CS128" s="67"/>
      <c r="CT128" s="67"/>
      <c r="CU128" s="67"/>
      <c r="CV128" s="67"/>
      <c r="CW128" s="67"/>
      <c r="CX128" s="67"/>
      <c r="CY128" s="67"/>
      <c r="CZ128" s="67"/>
      <c r="DA128" s="67"/>
      <c r="DB128" s="67"/>
      <c r="DC128" s="67"/>
      <c r="DD128" s="67"/>
      <c r="DE128" s="67"/>
      <c r="DF128" s="67"/>
      <c r="DG128" s="67"/>
      <c r="DH128" s="67"/>
      <c r="DI128" s="67"/>
      <c r="DJ128" s="67"/>
      <c r="DK128" s="67"/>
      <c r="DL128" s="67"/>
      <c r="DM128" s="67"/>
      <c r="DN128" s="67"/>
      <c r="DO128" s="67"/>
      <c r="DP128" s="67"/>
      <c r="DQ128" s="67"/>
      <c r="DR128" s="67"/>
      <c r="DS128" s="67"/>
      <c r="DT128" s="67"/>
      <c r="DU128" s="67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</row>
    <row r="129" spans="1:194" x14ac:dyDescent="0.25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  <c r="AK129" s="67"/>
      <c r="AL129" s="67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  <c r="BI129" s="67"/>
      <c r="BJ129" s="67"/>
      <c r="BK129" s="67"/>
      <c r="BL129" s="6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A129" s="67"/>
      <c r="CB129" s="67"/>
      <c r="CC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  <c r="CR129" s="67"/>
      <c r="CS129" s="67"/>
      <c r="CT129" s="67"/>
      <c r="CU129" s="67"/>
      <c r="CV129" s="67"/>
      <c r="CW129" s="67"/>
      <c r="CX129" s="67"/>
      <c r="CY129" s="67"/>
      <c r="CZ129" s="67"/>
      <c r="DA129" s="67"/>
      <c r="DB129" s="67"/>
      <c r="DC129" s="67"/>
      <c r="DD129" s="67"/>
      <c r="DE129" s="67"/>
      <c r="DF129" s="67"/>
      <c r="DG129" s="67"/>
      <c r="DH129" s="67"/>
      <c r="DI129" s="67"/>
      <c r="DJ129" s="67"/>
      <c r="DK129" s="67"/>
      <c r="DL129" s="67"/>
      <c r="DM129" s="67"/>
      <c r="DN129" s="67"/>
      <c r="DO129" s="67"/>
      <c r="DP129" s="67"/>
      <c r="DQ129" s="67"/>
      <c r="DR129" s="67"/>
      <c r="DS129" s="67"/>
      <c r="DT129" s="67"/>
      <c r="DU129" s="67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</row>
    <row r="130" spans="1:194" x14ac:dyDescent="0.25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  <c r="AK130" s="67"/>
      <c r="AL130" s="67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  <c r="BI130" s="67"/>
      <c r="BJ130" s="67"/>
      <c r="BK130" s="67"/>
      <c r="BL130" s="6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A130" s="67"/>
      <c r="CB130" s="67"/>
      <c r="CC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  <c r="CR130" s="67"/>
      <c r="CS130" s="67"/>
      <c r="CT130" s="67"/>
      <c r="CU130" s="67"/>
      <c r="CV130" s="67"/>
      <c r="CW130" s="67"/>
      <c r="CX130" s="67"/>
      <c r="CY130" s="67"/>
      <c r="CZ130" s="67"/>
      <c r="DA130" s="67"/>
      <c r="DB130" s="67"/>
      <c r="DC130" s="67"/>
      <c r="DD130" s="67"/>
      <c r="DE130" s="67"/>
      <c r="DF130" s="67"/>
      <c r="DG130" s="67"/>
      <c r="DH130" s="67"/>
      <c r="DI130" s="67"/>
      <c r="DJ130" s="67"/>
      <c r="DK130" s="67"/>
      <c r="DL130" s="67"/>
      <c r="DM130" s="67"/>
      <c r="DN130" s="67"/>
      <c r="DO130" s="67"/>
      <c r="DP130" s="67"/>
      <c r="DQ130" s="67"/>
      <c r="DR130" s="67"/>
      <c r="DS130" s="67"/>
      <c r="DT130" s="67"/>
      <c r="DU130" s="67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6"/>
      <c r="FH130" s="6"/>
      <c r="FI130" s="6"/>
      <c r="FJ130" s="6"/>
      <c r="FK130" s="6"/>
      <c r="FL130" s="6"/>
      <c r="FM130" s="6"/>
      <c r="FN130" s="6"/>
      <c r="FO130" s="6"/>
      <c r="FP130" s="6"/>
      <c r="FQ130" s="6"/>
      <c r="FR130" s="6"/>
      <c r="FS130" s="6"/>
      <c r="FT130" s="6"/>
      <c r="FU130" s="6"/>
      <c r="FV130" s="6"/>
      <c r="FW130" s="6"/>
      <c r="FX130" s="6"/>
      <c r="FY130" s="6"/>
      <c r="FZ130" s="6"/>
      <c r="GA130" s="6"/>
      <c r="GB130" s="6"/>
      <c r="GC130" s="6"/>
      <c r="GD130" s="6"/>
      <c r="GE130" s="6"/>
      <c r="GF130" s="6"/>
      <c r="GG130" s="6"/>
      <c r="GH130" s="6"/>
      <c r="GI130" s="6"/>
      <c r="GJ130" s="6"/>
      <c r="GK130" s="6"/>
      <c r="GL130" s="6"/>
    </row>
    <row r="131" spans="1:194" x14ac:dyDescent="0.25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  <c r="BI131" s="67"/>
      <c r="BJ131" s="67"/>
      <c r="BK131" s="67"/>
      <c r="BL131" s="6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A131" s="67"/>
      <c r="CB131" s="67"/>
      <c r="CC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  <c r="CR131" s="67"/>
      <c r="CS131" s="67"/>
      <c r="CT131" s="67"/>
      <c r="CU131" s="67"/>
      <c r="CV131" s="67"/>
      <c r="CW131" s="67"/>
      <c r="CX131" s="67"/>
      <c r="CY131" s="67"/>
      <c r="CZ131" s="67"/>
      <c r="DA131" s="67"/>
      <c r="DB131" s="67"/>
      <c r="DC131" s="67"/>
      <c r="DD131" s="67"/>
      <c r="DE131" s="67"/>
      <c r="DF131" s="67"/>
      <c r="DG131" s="67"/>
      <c r="DH131" s="67"/>
      <c r="DI131" s="67"/>
      <c r="DJ131" s="67"/>
      <c r="DK131" s="67"/>
      <c r="DL131" s="67"/>
      <c r="DM131" s="67"/>
      <c r="DN131" s="67"/>
      <c r="DO131" s="67"/>
      <c r="DP131" s="67"/>
      <c r="DQ131" s="67"/>
      <c r="DR131" s="67"/>
      <c r="DS131" s="67"/>
      <c r="DT131" s="67"/>
      <c r="DU131" s="67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</row>
    <row r="132" spans="1:194" x14ac:dyDescent="0.25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  <c r="BI132" s="67"/>
      <c r="BJ132" s="67"/>
      <c r="BK132" s="67"/>
      <c r="BL132" s="6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A132" s="67"/>
      <c r="CB132" s="67"/>
      <c r="CC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  <c r="CR132" s="67"/>
      <c r="CS132" s="67"/>
      <c r="CT132" s="67"/>
      <c r="CU132" s="67"/>
      <c r="CV132" s="67"/>
      <c r="CW132" s="67"/>
      <c r="CX132" s="67"/>
      <c r="CY132" s="67"/>
      <c r="CZ132" s="67"/>
      <c r="DA132" s="67"/>
      <c r="DB132" s="67"/>
      <c r="DC132" s="67"/>
      <c r="DD132" s="67"/>
      <c r="DE132" s="67"/>
      <c r="DF132" s="67"/>
      <c r="DG132" s="67"/>
      <c r="DH132" s="67"/>
      <c r="DI132" s="67"/>
      <c r="DJ132" s="67"/>
      <c r="DK132" s="67"/>
      <c r="DL132" s="67"/>
      <c r="DM132" s="67"/>
      <c r="DN132" s="67"/>
      <c r="DO132" s="67"/>
      <c r="DP132" s="67"/>
      <c r="DQ132" s="67"/>
      <c r="DR132" s="67"/>
      <c r="DS132" s="67"/>
      <c r="DT132" s="67"/>
      <c r="DU132" s="67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</row>
    <row r="133" spans="1:194" x14ac:dyDescent="0.25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  <c r="AK133" s="67"/>
      <c r="AL133" s="67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  <c r="BI133" s="67"/>
      <c r="BJ133" s="67"/>
      <c r="BK133" s="67"/>
      <c r="BL133" s="67"/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A133" s="67"/>
      <c r="CB133" s="67"/>
      <c r="CC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  <c r="CR133" s="67"/>
      <c r="CS133" s="67"/>
      <c r="CT133" s="67"/>
      <c r="CU133" s="67"/>
      <c r="CV133" s="67"/>
      <c r="CW133" s="67"/>
      <c r="CX133" s="67"/>
      <c r="CY133" s="67"/>
      <c r="CZ133" s="67"/>
      <c r="DA133" s="67"/>
      <c r="DB133" s="67"/>
      <c r="DC133" s="67"/>
      <c r="DD133" s="67"/>
      <c r="DE133" s="67"/>
      <c r="DF133" s="67"/>
      <c r="DG133" s="67"/>
      <c r="DH133" s="67"/>
      <c r="DI133" s="67"/>
      <c r="DJ133" s="67"/>
      <c r="DK133" s="67"/>
      <c r="DL133" s="67"/>
      <c r="DM133" s="67"/>
      <c r="DN133" s="67"/>
      <c r="DO133" s="67"/>
      <c r="DP133" s="67"/>
      <c r="DQ133" s="67"/>
      <c r="DR133" s="67"/>
      <c r="DS133" s="67"/>
      <c r="DT133" s="67"/>
      <c r="DU133" s="67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</row>
    <row r="134" spans="1:194" x14ac:dyDescent="0.25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  <c r="BI134" s="67"/>
      <c r="BJ134" s="67"/>
      <c r="BK134" s="67"/>
      <c r="BL134" s="67"/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A134" s="67"/>
      <c r="CB134" s="67"/>
      <c r="CC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  <c r="CR134" s="67"/>
      <c r="CS134" s="67"/>
      <c r="CT134" s="67"/>
      <c r="CU134" s="67"/>
      <c r="CV134" s="67"/>
      <c r="CW134" s="67"/>
      <c r="CX134" s="67"/>
      <c r="CY134" s="67"/>
      <c r="CZ134" s="67"/>
      <c r="DA134" s="67"/>
      <c r="DB134" s="67"/>
      <c r="DC134" s="67"/>
      <c r="DD134" s="67"/>
      <c r="DE134" s="67"/>
      <c r="DF134" s="67"/>
      <c r="DG134" s="67"/>
      <c r="DH134" s="67"/>
      <c r="DI134" s="67"/>
      <c r="DJ134" s="67"/>
      <c r="DK134" s="67"/>
      <c r="DL134" s="67"/>
      <c r="DM134" s="67"/>
      <c r="DN134" s="67"/>
      <c r="DO134" s="67"/>
      <c r="DP134" s="67"/>
      <c r="DQ134" s="67"/>
      <c r="DR134" s="67"/>
      <c r="DS134" s="67"/>
      <c r="DT134" s="67"/>
      <c r="DU134" s="67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</row>
    <row r="135" spans="1:194" x14ac:dyDescent="0.25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  <c r="BI135" s="67"/>
      <c r="BJ135" s="67"/>
      <c r="BK135" s="67"/>
      <c r="BL135" s="67"/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A135" s="67"/>
      <c r="CB135" s="67"/>
      <c r="CC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  <c r="CR135" s="67"/>
      <c r="CS135" s="67"/>
      <c r="CT135" s="67"/>
      <c r="CU135" s="67"/>
      <c r="CV135" s="67"/>
      <c r="CW135" s="67"/>
      <c r="CX135" s="67"/>
      <c r="CY135" s="67"/>
      <c r="CZ135" s="67"/>
      <c r="DA135" s="67"/>
      <c r="DB135" s="67"/>
      <c r="DC135" s="67"/>
      <c r="DD135" s="67"/>
      <c r="DE135" s="67"/>
      <c r="DF135" s="67"/>
      <c r="DG135" s="67"/>
      <c r="DH135" s="67"/>
      <c r="DI135" s="67"/>
      <c r="DJ135" s="67"/>
      <c r="DK135" s="67"/>
      <c r="DL135" s="67"/>
      <c r="DM135" s="67"/>
      <c r="DN135" s="67"/>
      <c r="DO135" s="67"/>
      <c r="DP135" s="67"/>
      <c r="DQ135" s="67"/>
      <c r="DR135" s="67"/>
      <c r="DS135" s="67"/>
      <c r="DT135" s="67"/>
      <c r="DU135" s="67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W135" s="6"/>
      <c r="EX135" s="6"/>
      <c r="EY135" s="6"/>
      <c r="EZ135" s="6"/>
      <c r="FA135" s="6"/>
      <c r="FB135" s="6"/>
      <c r="FC135" s="6"/>
      <c r="FD135" s="6"/>
      <c r="FE135" s="6"/>
      <c r="FF135" s="6"/>
      <c r="FG135" s="6"/>
      <c r="FH135" s="6"/>
      <c r="FI135" s="6"/>
      <c r="FJ135" s="6"/>
      <c r="FK135" s="6"/>
      <c r="FL135" s="6"/>
      <c r="FM135" s="6"/>
      <c r="FN135" s="6"/>
      <c r="FO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C135" s="6"/>
      <c r="GD135" s="6"/>
      <c r="GE135" s="6"/>
      <c r="GF135" s="6"/>
      <c r="GG135" s="6"/>
      <c r="GH135" s="6"/>
      <c r="GI135" s="6"/>
      <c r="GJ135" s="6"/>
      <c r="GK135" s="6"/>
      <c r="GL135" s="6"/>
    </row>
    <row r="136" spans="1:194" x14ac:dyDescent="0.25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  <c r="AK136" s="67"/>
      <c r="AL136" s="67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  <c r="BI136" s="67"/>
      <c r="BJ136" s="67"/>
      <c r="BK136" s="67"/>
      <c r="BL136" s="67"/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A136" s="67"/>
      <c r="CB136" s="67"/>
      <c r="CC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  <c r="CR136" s="67"/>
      <c r="CS136" s="67"/>
      <c r="CT136" s="67"/>
      <c r="CU136" s="67"/>
      <c r="CV136" s="67"/>
      <c r="CW136" s="67"/>
      <c r="CX136" s="67"/>
      <c r="CY136" s="67"/>
      <c r="CZ136" s="67"/>
      <c r="DA136" s="67"/>
      <c r="DB136" s="67"/>
      <c r="DC136" s="67"/>
      <c r="DD136" s="67"/>
      <c r="DE136" s="67"/>
      <c r="DF136" s="67"/>
      <c r="DG136" s="67"/>
      <c r="DH136" s="67"/>
      <c r="DI136" s="67"/>
      <c r="DJ136" s="67"/>
      <c r="DK136" s="67"/>
      <c r="DL136" s="67"/>
      <c r="DM136" s="67"/>
      <c r="DN136" s="67"/>
      <c r="DO136" s="67"/>
      <c r="DP136" s="67"/>
      <c r="DQ136" s="67"/>
      <c r="DR136" s="67"/>
      <c r="DS136" s="67"/>
      <c r="DT136" s="67"/>
      <c r="DU136" s="67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  <c r="ER136" s="6"/>
      <c r="ES136" s="6"/>
      <c r="ET136" s="6"/>
      <c r="EU136" s="6"/>
      <c r="EV136" s="6"/>
      <c r="EW136" s="6"/>
      <c r="EX136" s="6"/>
      <c r="EY136" s="6"/>
      <c r="EZ136" s="6"/>
      <c r="FA136" s="6"/>
      <c r="FB136" s="6"/>
      <c r="FC136" s="6"/>
      <c r="FD136" s="6"/>
      <c r="FE136" s="6"/>
      <c r="FF136" s="6"/>
      <c r="FG136" s="6"/>
      <c r="FH136" s="6"/>
      <c r="FI136" s="6"/>
      <c r="FJ136" s="6"/>
      <c r="FK136" s="6"/>
      <c r="FL136" s="6"/>
      <c r="FM136" s="6"/>
      <c r="FN136" s="6"/>
      <c r="FO136" s="6"/>
      <c r="FP136" s="6"/>
      <c r="FQ136" s="6"/>
      <c r="FR136" s="6"/>
      <c r="FS136" s="6"/>
      <c r="FT136" s="6"/>
      <c r="FU136" s="6"/>
      <c r="FV136" s="6"/>
      <c r="FW136" s="6"/>
      <c r="FX136" s="6"/>
      <c r="FY136" s="6"/>
      <c r="FZ136" s="6"/>
      <c r="GA136" s="6"/>
      <c r="GB136" s="6"/>
      <c r="GC136" s="6"/>
      <c r="GD136" s="6"/>
      <c r="GE136" s="6"/>
      <c r="GF136" s="6"/>
      <c r="GG136" s="6"/>
      <c r="GH136" s="6"/>
      <c r="GI136" s="6"/>
      <c r="GJ136" s="6"/>
      <c r="GK136" s="6"/>
      <c r="GL136" s="6"/>
    </row>
    <row r="137" spans="1:194" x14ac:dyDescent="0.25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  <c r="AI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  <c r="BI137" s="67"/>
      <c r="BJ137" s="67"/>
      <c r="BK137" s="67"/>
      <c r="BL137" s="67"/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A137" s="67"/>
      <c r="CB137" s="67"/>
      <c r="CC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  <c r="CR137" s="67"/>
      <c r="CS137" s="67"/>
      <c r="CT137" s="67"/>
      <c r="CU137" s="67"/>
      <c r="CV137" s="67"/>
      <c r="CW137" s="67"/>
      <c r="CX137" s="67"/>
      <c r="CY137" s="67"/>
      <c r="CZ137" s="67"/>
      <c r="DA137" s="67"/>
      <c r="DB137" s="67"/>
      <c r="DC137" s="67"/>
      <c r="DD137" s="67"/>
      <c r="DE137" s="67"/>
      <c r="DF137" s="67"/>
      <c r="DG137" s="67"/>
      <c r="DH137" s="67"/>
      <c r="DI137" s="67"/>
      <c r="DJ137" s="67"/>
      <c r="DK137" s="67"/>
      <c r="DL137" s="67"/>
      <c r="DM137" s="67"/>
      <c r="DN137" s="67"/>
      <c r="DO137" s="67"/>
      <c r="DP137" s="67"/>
      <c r="DQ137" s="67"/>
      <c r="DR137" s="67"/>
      <c r="DS137" s="67"/>
      <c r="DT137" s="67"/>
      <c r="DU137" s="67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  <c r="GK137" s="6"/>
      <c r="GL137" s="6"/>
    </row>
    <row r="138" spans="1:194" x14ac:dyDescent="0.25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  <c r="AK138" s="67"/>
      <c r="AL138" s="67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  <c r="BI138" s="67"/>
      <c r="BJ138" s="67"/>
      <c r="BK138" s="67"/>
      <c r="BL138" s="67"/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A138" s="67"/>
      <c r="CB138" s="67"/>
      <c r="CC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  <c r="CR138" s="67"/>
      <c r="CS138" s="67"/>
      <c r="CT138" s="67"/>
      <c r="CU138" s="67"/>
      <c r="CV138" s="67"/>
      <c r="CW138" s="67"/>
      <c r="CX138" s="67"/>
      <c r="CY138" s="67"/>
      <c r="CZ138" s="67"/>
      <c r="DA138" s="67"/>
      <c r="DB138" s="67"/>
      <c r="DC138" s="67"/>
      <c r="DD138" s="67"/>
      <c r="DE138" s="67"/>
      <c r="DF138" s="67"/>
      <c r="DG138" s="67"/>
      <c r="DH138" s="67"/>
      <c r="DI138" s="67"/>
      <c r="DJ138" s="67"/>
      <c r="DK138" s="67"/>
      <c r="DL138" s="67"/>
      <c r="DM138" s="67"/>
      <c r="DN138" s="67"/>
      <c r="DO138" s="67"/>
      <c r="DP138" s="67"/>
      <c r="DQ138" s="67"/>
      <c r="DR138" s="67"/>
      <c r="DS138" s="67"/>
      <c r="DT138" s="67"/>
      <c r="DU138" s="67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</row>
    <row r="139" spans="1:194" x14ac:dyDescent="0.25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  <c r="AF139" s="67"/>
      <c r="AG139" s="67"/>
      <c r="AH139" s="67"/>
      <c r="AI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  <c r="BI139" s="67"/>
      <c r="BJ139" s="67"/>
      <c r="BK139" s="67"/>
      <c r="BL139" s="67"/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A139" s="67"/>
      <c r="CB139" s="67"/>
      <c r="CC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  <c r="CR139" s="67"/>
      <c r="CS139" s="67"/>
      <c r="CT139" s="67"/>
      <c r="CU139" s="67"/>
      <c r="CV139" s="67"/>
      <c r="CW139" s="67"/>
      <c r="CX139" s="67"/>
      <c r="CY139" s="67"/>
      <c r="CZ139" s="67"/>
      <c r="DA139" s="67"/>
      <c r="DB139" s="67"/>
      <c r="DC139" s="67"/>
      <c r="DD139" s="67"/>
      <c r="DE139" s="67"/>
      <c r="DF139" s="67"/>
      <c r="DG139" s="67"/>
      <c r="DH139" s="67"/>
      <c r="DI139" s="67"/>
      <c r="DJ139" s="67"/>
      <c r="DK139" s="67"/>
      <c r="DL139" s="67"/>
      <c r="DM139" s="67"/>
      <c r="DN139" s="67"/>
      <c r="DO139" s="67"/>
      <c r="DP139" s="67"/>
      <c r="DQ139" s="67"/>
      <c r="DR139" s="67"/>
      <c r="DS139" s="67"/>
      <c r="DT139" s="67"/>
      <c r="DU139" s="67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</row>
    <row r="140" spans="1:194" x14ac:dyDescent="0.25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  <c r="AF140" s="67"/>
      <c r="AG140" s="67"/>
      <c r="AH140" s="67"/>
      <c r="AI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  <c r="BI140" s="67"/>
      <c r="BJ140" s="67"/>
      <c r="BK140" s="67"/>
      <c r="BL140" s="67"/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A140" s="67"/>
      <c r="CB140" s="67"/>
      <c r="CC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  <c r="CR140" s="67"/>
      <c r="CS140" s="67"/>
      <c r="CT140" s="67"/>
      <c r="CU140" s="67"/>
      <c r="CV140" s="67"/>
      <c r="CW140" s="67"/>
      <c r="CX140" s="67"/>
      <c r="CY140" s="67"/>
      <c r="CZ140" s="67"/>
      <c r="DA140" s="67"/>
      <c r="DB140" s="67"/>
      <c r="DC140" s="67"/>
      <c r="DD140" s="67"/>
      <c r="DE140" s="67"/>
      <c r="DF140" s="67"/>
      <c r="DG140" s="67"/>
      <c r="DH140" s="67"/>
      <c r="DI140" s="67"/>
      <c r="DJ140" s="67"/>
      <c r="DK140" s="67"/>
      <c r="DL140" s="67"/>
      <c r="DM140" s="67"/>
      <c r="DN140" s="67"/>
      <c r="DO140" s="67"/>
      <c r="DP140" s="67"/>
      <c r="DQ140" s="67"/>
      <c r="DR140" s="67"/>
      <c r="DS140" s="67"/>
      <c r="DT140" s="67"/>
      <c r="DU140" s="67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  <c r="ER140" s="6"/>
      <c r="ES140" s="6"/>
      <c r="ET140" s="6"/>
      <c r="EU140" s="6"/>
      <c r="EV140" s="6"/>
      <c r="EW140" s="6"/>
      <c r="EX140" s="6"/>
      <c r="EY140" s="6"/>
      <c r="EZ140" s="6"/>
      <c r="FA140" s="6"/>
      <c r="FB140" s="6"/>
      <c r="FC140" s="6"/>
      <c r="FD140" s="6"/>
      <c r="FE140" s="6"/>
      <c r="FF140" s="6"/>
      <c r="FG140" s="6"/>
      <c r="FH140" s="6"/>
      <c r="FI140" s="6"/>
      <c r="FJ140" s="6"/>
      <c r="FK140" s="6"/>
      <c r="FL140" s="6"/>
      <c r="FM140" s="6"/>
      <c r="FN140" s="6"/>
      <c r="FO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B140" s="6"/>
      <c r="GC140" s="6"/>
      <c r="GD140" s="6"/>
      <c r="GE140" s="6"/>
      <c r="GF140" s="6"/>
      <c r="GG140" s="6"/>
      <c r="GH140" s="6"/>
      <c r="GI140" s="6"/>
      <c r="GJ140" s="6"/>
      <c r="GK140" s="6"/>
      <c r="GL140" s="6"/>
    </row>
    <row r="141" spans="1:194" x14ac:dyDescent="0.25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67"/>
      <c r="AK141" s="67"/>
      <c r="AL141" s="67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  <c r="BI141" s="67"/>
      <c r="BJ141" s="67"/>
      <c r="BK141" s="67"/>
      <c r="BL141" s="67"/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A141" s="67"/>
      <c r="CB141" s="67"/>
      <c r="CC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  <c r="CR141" s="67"/>
      <c r="CS141" s="67"/>
      <c r="CT141" s="67"/>
      <c r="CU141" s="67"/>
      <c r="CV141" s="67"/>
      <c r="CW141" s="67"/>
      <c r="CX141" s="67"/>
      <c r="CY141" s="67"/>
      <c r="CZ141" s="67"/>
      <c r="DA141" s="67"/>
      <c r="DB141" s="67"/>
      <c r="DC141" s="67"/>
      <c r="DD141" s="67"/>
      <c r="DE141" s="67"/>
      <c r="DF141" s="67"/>
      <c r="DG141" s="67"/>
      <c r="DH141" s="67"/>
      <c r="DI141" s="67"/>
      <c r="DJ141" s="67"/>
      <c r="DK141" s="67"/>
      <c r="DL141" s="67"/>
      <c r="DM141" s="67"/>
      <c r="DN141" s="67"/>
      <c r="DO141" s="67"/>
      <c r="DP141" s="67"/>
      <c r="DQ141" s="67"/>
      <c r="DR141" s="67"/>
      <c r="DS141" s="67"/>
      <c r="DT141" s="67"/>
      <c r="DU141" s="67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  <c r="ER141" s="6"/>
      <c r="ES141" s="6"/>
      <c r="ET141" s="6"/>
      <c r="EU141" s="6"/>
      <c r="EV141" s="6"/>
      <c r="EW141" s="6"/>
      <c r="EX141" s="6"/>
      <c r="EY141" s="6"/>
      <c r="EZ141" s="6"/>
      <c r="FA141" s="6"/>
      <c r="FB141" s="6"/>
      <c r="FC141" s="6"/>
      <c r="FD141" s="6"/>
      <c r="FE141" s="6"/>
      <c r="FF141" s="6"/>
      <c r="FG141" s="6"/>
      <c r="FH141" s="6"/>
      <c r="FI141" s="6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B141" s="6"/>
      <c r="GC141" s="6"/>
      <c r="GD141" s="6"/>
      <c r="GE141" s="6"/>
      <c r="GF141" s="6"/>
      <c r="GG141" s="6"/>
      <c r="GH141" s="6"/>
      <c r="GI141" s="6"/>
      <c r="GJ141" s="6"/>
      <c r="GK141" s="6"/>
      <c r="GL141" s="6"/>
    </row>
    <row r="142" spans="1:194" x14ac:dyDescent="0.25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  <c r="AK142" s="67"/>
      <c r="AL142" s="67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A142" s="67"/>
      <c r="CB142" s="67"/>
      <c r="CC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  <c r="CR142" s="67"/>
      <c r="CS142" s="67"/>
      <c r="CT142" s="67"/>
      <c r="CU142" s="67"/>
      <c r="CV142" s="67"/>
      <c r="CW142" s="67"/>
      <c r="CX142" s="67"/>
      <c r="CY142" s="67"/>
      <c r="CZ142" s="67"/>
      <c r="DA142" s="67"/>
      <c r="DB142" s="67"/>
      <c r="DC142" s="67"/>
      <c r="DD142" s="67"/>
      <c r="DE142" s="67"/>
      <c r="DF142" s="67"/>
      <c r="DG142" s="67"/>
      <c r="DH142" s="67"/>
      <c r="DI142" s="67"/>
      <c r="DJ142" s="67"/>
      <c r="DK142" s="67"/>
      <c r="DL142" s="67"/>
      <c r="DM142" s="67"/>
      <c r="DN142" s="67"/>
      <c r="DO142" s="67"/>
      <c r="DP142" s="67"/>
      <c r="DQ142" s="67"/>
      <c r="DR142" s="67"/>
      <c r="DS142" s="67"/>
      <c r="DT142" s="67"/>
      <c r="DU142" s="67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6"/>
      <c r="FH142" s="6"/>
      <c r="FI142" s="6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</row>
    <row r="143" spans="1:194" x14ac:dyDescent="0.25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  <c r="AK143" s="67"/>
      <c r="AL143" s="67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  <c r="BI143" s="67"/>
      <c r="BJ143" s="67"/>
      <c r="BK143" s="67"/>
      <c r="BL143" s="67"/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A143" s="67"/>
      <c r="CB143" s="67"/>
      <c r="CC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  <c r="CR143" s="67"/>
      <c r="CS143" s="67"/>
      <c r="CT143" s="67"/>
      <c r="CU143" s="67"/>
      <c r="CV143" s="67"/>
      <c r="CW143" s="67"/>
      <c r="CX143" s="67"/>
      <c r="CY143" s="67"/>
      <c r="CZ143" s="67"/>
      <c r="DA143" s="67"/>
      <c r="DB143" s="67"/>
      <c r="DC143" s="67"/>
      <c r="DD143" s="67"/>
      <c r="DE143" s="67"/>
      <c r="DF143" s="67"/>
      <c r="DG143" s="67"/>
      <c r="DH143" s="67"/>
      <c r="DI143" s="67"/>
      <c r="DJ143" s="67"/>
      <c r="DK143" s="67"/>
      <c r="DL143" s="67"/>
      <c r="DM143" s="67"/>
      <c r="DN143" s="67"/>
      <c r="DO143" s="67"/>
      <c r="DP143" s="67"/>
      <c r="DQ143" s="67"/>
      <c r="DR143" s="67"/>
      <c r="DS143" s="67"/>
      <c r="DT143" s="67"/>
      <c r="DU143" s="67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  <c r="ER143" s="6"/>
      <c r="ES143" s="6"/>
      <c r="ET143" s="6"/>
      <c r="EU143" s="6"/>
      <c r="EV143" s="6"/>
      <c r="EW143" s="6"/>
      <c r="EX143" s="6"/>
      <c r="EY143" s="6"/>
      <c r="EZ143" s="6"/>
      <c r="FA143" s="6"/>
      <c r="FB143" s="6"/>
      <c r="FC143" s="6"/>
      <c r="FD143" s="6"/>
      <c r="FE143" s="6"/>
      <c r="FF143" s="6"/>
      <c r="FG143" s="6"/>
      <c r="FH143" s="6"/>
      <c r="FI143" s="6"/>
      <c r="FJ143" s="6"/>
      <c r="FK143" s="6"/>
      <c r="FL143" s="6"/>
      <c r="FM143" s="6"/>
      <c r="FN143" s="6"/>
      <c r="FO143" s="6"/>
      <c r="FP143" s="6"/>
      <c r="FQ143" s="6"/>
      <c r="FR143" s="6"/>
      <c r="FS143" s="6"/>
      <c r="FT143" s="6"/>
      <c r="FU143" s="6"/>
      <c r="FV143" s="6"/>
      <c r="FW143" s="6"/>
      <c r="FX143" s="6"/>
      <c r="FY143" s="6"/>
      <c r="FZ143" s="6"/>
      <c r="GA143" s="6"/>
      <c r="GB143" s="6"/>
      <c r="GC143" s="6"/>
      <c r="GD143" s="6"/>
      <c r="GE143" s="6"/>
      <c r="GF143" s="6"/>
      <c r="GG143" s="6"/>
      <c r="GH143" s="6"/>
      <c r="GI143" s="6"/>
      <c r="GJ143" s="6"/>
      <c r="GK143" s="6"/>
      <c r="GL143" s="6"/>
    </row>
    <row r="144" spans="1:194" x14ac:dyDescent="0.25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A144" s="67"/>
      <c r="CB144" s="67"/>
      <c r="CC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  <c r="CR144" s="67"/>
      <c r="CS144" s="67"/>
      <c r="CT144" s="67"/>
      <c r="CU144" s="67"/>
      <c r="CV144" s="67"/>
      <c r="CW144" s="67"/>
      <c r="CX144" s="67"/>
      <c r="CY144" s="67"/>
      <c r="CZ144" s="67"/>
      <c r="DA144" s="67"/>
      <c r="DB144" s="67"/>
      <c r="DC144" s="67"/>
      <c r="DD144" s="67"/>
      <c r="DE144" s="67"/>
      <c r="DF144" s="67"/>
      <c r="DG144" s="67"/>
      <c r="DH144" s="67"/>
      <c r="DI144" s="67"/>
      <c r="DJ144" s="67"/>
      <c r="DK144" s="67"/>
      <c r="DL144" s="67"/>
      <c r="DM144" s="67"/>
      <c r="DN144" s="67"/>
      <c r="DO144" s="67"/>
      <c r="DP144" s="67"/>
      <c r="DQ144" s="67"/>
      <c r="DR144" s="67"/>
      <c r="DS144" s="67"/>
      <c r="DT144" s="67"/>
      <c r="DU144" s="67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  <c r="ER144" s="6"/>
      <c r="ES144" s="6"/>
      <c r="ET144" s="6"/>
      <c r="EU144" s="6"/>
      <c r="EV144" s="6"/>
      <c r="EW144" s="6"/>
      <c r="EX144" s="6"/>
      <c r="EY144" s="6"/>
      <c r="EZ144" s="6"/>
      <c r="FA144" s="6"/>
      <c r="FB144" s="6"/>
      <c r="FC144" s="6"/>
      <c r="FD144" s="6"/>
      <c r="FE144" s="6"/>
      <c r="FF144" s="6"/>
      <c r="FG144" s="6"/>
      <c r="FH144" s="6"/>
      <c r="FI144" s="6"/>
      <c r="FJ144" s="6"/>
      <c r="FK144" s="6"/>
      <c r="FL144" s="6"/>
      <c r="FM144" s="6"/>
      <c r="FN144" s="6"/>
      <c r="FO144" s="6"/>
      <c r="FP144" s="6"/>
      <c r="FQ144" s="6"/>
      <c r="FR144" s="6"/>
      <c r="FS144" s="6"/>
      <c r="FT144" s="6"/>
      <c r="FU144" s="6"/>
      <c r="FV144" s="6"/>
      <c r="FW144" s="6"/>
      <c r="FX144" s="6"/>
      <c r="FY144" s="6"/>
      <c r="FZ144" s="6"/>
      <c r="GA144" s="6"/>
      <c r="GB144" s="6"/>
      <c r="GC144" s="6"/>
      <c r="GD144" s="6"/>
      <c r="GE144" s="6"/>
      <c r="GF144" s="6"/>
      <c r="GG144" s="6"/>
      <c r="GH144" s="6"/>
      <c r="GI144" s="6"/>
      <c r="GJ144" s="6"/>
      <c r="GK144" s="6"/>
      <c r="GL144" s="6"/>
    </row>
    <row r="145" spans="1:194" x14ac:dyDescent="0.25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A145" s="67"/>
      <c r="CB145" s="67"/>
      <c r="CC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  <c r="CR145" s="67"/>
      <c r="CS145" s="67"/>
      <c r="CT145" s="67"/>
      <c r="CU145" s="67"/>
      <c r="CV145" s="67"/>
      <c r="CW145" s="67"/>
      <c r="CX145" s="67"/>
      <c r="CY145" s="67"/>
      <c r="CZ145" s="67"/>
      <c r="DA145" s="67"/>
      <c r="DB145" s="67"/>
      <c r="DC145" s="67"/>
      <c r="DD145" s="67"/>
      <c r="DE145" s="67"/>
      <c r="DF145" s="67"/>
      <c r="DG145" s="67"/>
      <c r="DH145" s="67"/>
      <c r="DI145" s="67"/>
      <c r="DJ145" s="67"/>
      <c r="DK145" s="67"/>
      <c r="DL145" s="67"/>
      <c r="DM145" s="67"/>
      <c r="DN145" s="67"/>
      <c r="DO145" s="67"/>
      <c r="DP145" s="67"/>
      <c r="DQ145" s="67"/>
      <c r="DR145" s="67"/>
      <c r="DS145" s="67"/>
      <c r="DT145" s="67"/>
      <c r="DU145" s="67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</row>
    <row r="146" spans="1:194" x14ac:dyDescent="0.25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A146" s="67"/>
      <c r="CB146" s="67"/>
      <c r="CC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  <c r="CR146" s="67"/>
      <c r="CS146" s="67"/>
      <c r="CT146" s="67"/>
      <c r="CU146" s="67"/>
      <c r="CV146" s="67"/>
      <c r="CW146" s="67"/>
      <c r="CX146" s="67"/>
      <c r="CY146" s="67"/>
      <c r="CZ146" s="67"/>
      <c r="DA146" s="67"/>
      <c r="DB146" s="67"/>
      <c r="DC146" s="67"/>
      <c r="DD146" s="67"/>
      <c r="DE146" s="67"/>
      <c r="DF146" s="67"/>
      <c r="DG146" s="67"/>
      <c r="DH146" s="67"/>
      <c r="DI146" s="67"/>
      <c r="DJ146" s="67"/>
      <c r="DK146" s="67"/>
      <c r="DL146" s="67"/>
      <c r="DM146" s="67"/>
      <c r="DN146" s="67"/>
      <c r="DO146" s="67"/>
      <c r="DP146" s="67"/>
      <c r="DQ146" s="67"/>
      <c r="DR146" s="67"/>
      <c r="DS146" s="67"/>
      <c r="DT146" s="67"/>
      <c r="DU146" s="67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  <c r="ER146" s="6"/>
      <c r="ES146" s="6"/>
      <c r="ET146" s="6"/>
      <c r="EU146" s="6"/>
      <c r="EV146" s="6"/>
      <c r="EW146" s="6"/>
      <c r="EX146" s="6"/>
      <c r="EY146" s="6"/>
      <c r="EZ146" s="6"/>
      <c r="FA146" s="6"/>
      <c r="FB146" s="6"/>
      <c r="FC146" s="6"/>
      <c r="FD146" s="6"/>
      <c r="FE146" s="6"/>
      <c r="FF146" s="6"/>
      <c r="FG146" s="6"/>
      <c r="FH146" s="6"/>
      <c r="FI146" s="6"/>
      <c r="FJ146" s="6"/>
      <c r="FK146" s="6"/>
      <c r="FL146" s="6"/>
      <c r="FM146" s="6"/>
      <c r="FN146" s="6"/>
      <c r="FO146" s="6"/>
      <c r="FP146" s="6"/>
      <c r="FQ146" s="6"/>
      <c r="FR146" s="6"/>
      <c r="FS146" s="6"/>
      <c r="FT146" s="6"/>
      <c r="FU146" s="6"/>
      <c r="FV146" s="6"/>
      <c r="FW146" s="6"/>
      <c r="FX146" s="6"/>
      <c r="FY146" s="6"/>
      <c r="FZ146" s="6"/>
      <c r="GA146" s="6"/>
      <c r="GB146" s="6"/>
      <c r="GC146" s="6"/>
      <c r="GD146" s="6"/>
      <c r="GE146" s="6"/>
      <c r="GF146" s="6"/>
      <c r="GG146" s="6"/>
      <c r="GH146" s="6"/>
      <c r="GI146" s="6"/>
      <c r="GJ146" s="6"/>
      <c r="GK146" s="6"/>
      <c r="GL146" s="6"/>
    </row>
    <row r="147" spans="1:194" x14ac:dyDescent="0.25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  <c r="AI147" s="67"/>
      <c r="AJ147" s="67"/>
      <c r="AK147" s="67"/>
      <c r="AL147" s="67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  <c r="BI147" s="67"/>
      <c r="BJ147" s="67"/>
      <c r="BK147" s="67"/>
      <c r="BL147" s="67"/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A147" s="67"/>
      <c r="CB147" s="67"/>
      <c r="CC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  <c r="CR147" s="67"/>
      <c r="CS147" s="67"/>
      <c r="CT147" s="67"/>
      <c r="CU147" s="67"/>
      <c r="CV147" s="67"/>
      <c r="CW147" s="67"/>
      <c r="CX147" s="67"/>
      <c r="CY147" s="67"/>
      <c r="CZ147" s="67"/>
      <c r="DA147" s="67"/>
      <c r="DB147" s="67"/>
      <c r="DC147" s="67"/>
      <c r="DD147" s="67"/>
      <c r="DE147" s="67"/>
      <c r="DF147" s="67"/>
      <c r="DG147" s="67"/>
      <c r="DH147" s="67"/>
      <c r="DI147" s="67"/>
      <c r="DJ147" s="67"/>
      <c r="DK147" s="67"/>
      <c r="DL147" s="67"/>
      <c r="DM147" s="67"/>
      <c r="DN147" s="67"/>
      <c r="DO147" s="67"/>
      <c r="DP147" s="67"/>
      <c r="DQ147" s="67"/>
      <c r="DR147" s="67"/>
      <c r="DS147" s="67"/>
      <c r="DT147" s="67"/>
      <c r="DU147" s="67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  <c r="ER147" s="6"/>
      <c r="ES147" s="6"/>
      <c r="ET147" s="6"/>
      <c r="EU147" s="6"/>
      <c r="EV147" s="6"/>
      <c r="EW147" s="6"/>
      <c r="EX147" s="6"/>
      <c r="EY147" s="6"/>
      <c r="EZ147" s="6"/>
      <c r="FA147" s="6"/>
      <c r="FB147" s="6"/>
      <c r="FC147" s="6"/>
      <c r="FD147" s="6"/>
      <c r="FE147" s="6"/>
      <c r="FF147" s="6"/>
      <c r="FG147" s="6"/>
      <c r="FH147" s="6"/>
      <c r="FI147" s="6"/>
      <c r="FJ147" s="6"/>
      <c r="FK147" s="6"/>
      <c r="FL147" s="6"/>
      <c r="FM147" s="6"/>
      <c r="FN147" s="6"/>
      <c r="FO147" s="6"/>
      <c r="FP147" s="6"/>
      <c r="FQ147" s="6"/>
      <c r="FR147" s="6"/>
      <c r="FS147" s="6"/>
      <c r="FT147" s="6"/>
      <c r="FU147" s="6"/>
      <c r="FV147" s="6"/>
      <c r="FW147" s="6"/>
      <c r="FX147" s="6"/>
      <c r="FY147" s="6"/>
      <c r="FZ147" s="6"/>
      <c r="GA147" s="6"/>
      <c r="GB147" s="6"/>
      <c r="GC147" s="6"/>
      <c r="GD147" s="6"/>
      <c r="GE147" s="6"/>
      <c r="GF147" s="6"/>
      <c r="GG147" s="6"/>
      <c r="GH147" s="6"/>
      <c r="GI147" s="6"/>
      <c r="GJ147" s="6"/>
      <c r="GK147" s="6"/>
      <c r="GL147" s="6"/>
    </row>
    <row r="148" spans="1:194" x14ac:dyDescent="0.25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  <c r="BI148" s="67"/>
      <c r="BJ148" s="67"/>
      <c r="BK148" s="67"/>
      <c r="BL148" s="67"/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A148" s="67"/>
      <c r="CB148" s="67"/>
      <c r="CC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  <c r="CR148" s="67"/>
      <c r="CS148" s="67"/>
      <c r="CT148" s="67"/>
      <c r="CU148" s="67"/>
      <c r="CV148" s="67"/>
      <c r="CW148" s="67"/>
      <c r="CX148" s="67"/>
      <c r="CY148" s="67"/>
      <c r="CZ148" s="67"/>
      <c r="DA148" s="67"/>
      <c r="DB148" s="67"/>
      <c r="DC148" s="67"/>
      <c r="DD148" s="67"/>
      <c r="DE148" s="67"/>
      <c r="DF148" s="67"/>
      <c r="DG148" s="67"/>
      <c r="DH148" s="67"/>
      <c r="DI148" s="67"/>
      <c r="DJ148" s="67"/>
      <c r="DK148" s="67"/>
      <c r="DL148" s="67"/>
      <c r="DM148" s="67"/>
      <c r="DN148" s="67"/>
      <c r="DO148" s="67"/>
      <c r="DP148" s="67"/>
      <c r="DQ148" s="67"/>
      <c r="DR148" s="67"/>
      <c r="DS148" s="67"/>
      <c r="DT148" s="67"/>
      <c r="DU148" s="67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</row>
    <row r="149" spans="1:194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  <c r="AI149" s="67"/>
      <c r="AJ149" s="67"/>
      <c r="AK149" s="67"/>
      <c r="AL149" s="67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  <c r="BI149" s="67"/>
      <c r="BJ149" s="67"/>
      <c r="BK149" s="67"/>
      <c r="BL149" s="67"/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A149" s="67"/>
      <c r="CB149" s="67"/>
      <c r="CC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  <c r="CR149" s="67"/>
      <c r="CS149" s="67"/>
      <c r="CT149" s="67"/>
      <c r="CU149" s="67"/>
      <c r="CV149" s="67"/>
      <c r="CW149" s="67"/>
      <c r="CX149" s="67"/>
      <c r="CY149" s="67"/>
      <c r="CZ149" s="67"/>
      <c r="DA149" s="67"/>
      <c r="DB149" s="67"/>
      <c r="DC149" s="67"/>
      <c r="DD149" s="67"/>
      <c r="DE149" s="67"/>
      <c r="DF149" s="67"/>
      <c r="DG149" s="67"/>
      <c r="DH149" s="67"/>
      <c r="DI149" s="67"/>
      <c r="DJ149" s="67"/>
      <c r="DK149" s="67"/>
      <c r="DL149" s="67"/>
      <c r="DM149" s="67"/>
      <c r="DN149" s="67"/>
      <c r="DO149" s="67"/>
      <c r="DP149" s="67"/>
      <c r="DQ149" s="67"/>
      <c r="DR149" s="67"/>
      <c r="DS149" s="67"/>
      <c r="DT149" s="67"/>
      <c r="DU149" s="67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EZ149" s="6"/>
      <c r="FA149" s="6"/>
      <c r="FB149" s="6"/>
      <c r="FC149" s="6"/>
      <c r="FD149" s="6"/>
      <c r="FE149" s="6"/>
      <c r="FF149" s="6"/>
      <c r="FG149" s="6"/>
      <c r="FH149" s="6"/>
      <c r="FI149" s="6"/>
      <c r="FJ149" s="6"/>
      <c r="FK149" s="6"/>
      <c r="FL149" s="6"/>
      <c r="FM149" s="6"/>
      <c r="FN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</row>
    <row r="150" spans="1:194" x14ac:dyDescent="0.25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  <c r="BI150" s="67"/>
      <c r="BJ150" s="67"/>
      <c r="BK150" s="67"/>
      <c r="BL150" s="67"/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A150" s="67"/>
      <c r="CB150" s="67"/>
      <c r="CC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  <c r="CR150" s="67"/>
      <c r="CS150" s="67"/>
      <c r="CT150" s="67"/>
      <c r="CU150" s="67"/>
      <c r="CV150" s="67"/>
      <c r="CW150" s="67"/>
      <c r="CX150" s="67"/>
      <c r="CY150" s="67"/>
      <c r="CZ150" s="67"/>
      <c r="DA150" s="67"/>
      <c r="DB150" s="67"/>
      <c r="DC150" s="67"/>
      <c r="DD150" s="67"/>
      <c r="DE150" s="67"/>
      <c r="DF150" s="67"/>
      <c r="DG150" s="67"/>
      <c r="DH150" s="67"/>
      <c r="DI150" s="67"/>
      <c r="DJ150" s="67"/>
      <c r="DK150" s="67"/>
      <c r="DL150" s="67"/>
      <c r="DM150" s="67"/>
      <c r="DN150" s="67"/>
      <c r="DO150" s="67"/>
      <c r="DP150" s="67"/>
      <c r="DQ150" s="67"/>
      <c r="DR150" s="67"/>
      <c r="DS150" s="67"/>
      <c r="DT150" s="67"/>
      <c r="DU150" s="67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6"/>
      <c r="FH150" s="6"/>
      <c r="FI150" s="6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</row>
    <row r="151" spans="1:194" x14ac:dyDescent="0.25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  <c r="CR151" s="67"/>
      <c r="CS151" s="67"/>
      <c r="CT151" s="67"/>
      <c r="CU151" s="67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7"/>
      <c r="DT151" s="67"/>
      <c r="DU151" s="67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6"/>
      <c r="FH151" s="6"/>
      <c r="FI151" s="6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</row>
    <row r="152" spans="1:194" x14ac:dyDescent="0.25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  <c r="AF152" s="67"/>
      <c r="AG152" s="67"/>
      <c r="AH152" s="67"/>
      <c r="AI152" s="67"/>
      <c r="AJ152" s="67"/>
      <c r="AK152" s="67"/>
      <c r="AL152" s="67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  <c r="BI152" s="67"/>
      <c r="BJ152" s="67"/>
      <c r="BK152" s="67"/>
      <c r="BL152" s="67"/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A152" s="67"/>
      <c r="CB152" s="67"/>
      <c r="CC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  <c r="CR152" s="67"/>
      <c r="CS152" s="67"/>
      <c r="CT152" s="67"/>
      <c r="CU152" s="67"/>
      <c r="CV152" s="67"/>
      <c r="CW152" s="67"/>
      <c r="CX152" s="67"/>
      <c r="CY152" s="67"/>
      <c r="CZ152" s="67"/>
      <c r="DA152" s="67"/>
      <c r="DB152" s="67"/>
      <c r="DC152" s="67"/>
      <c r="DD152" s="67"/>
      <c r="DE152" s="67"/>
      <c r="DF152" s="67"/>
      <c r="DG152" s="67"/>
      <c r="DH152" s="67"/>
      <c r="DI152" s="67"/>
      <c r="DJ152" s="67"/>
      <c r="DK152" s="67"/>
      <c r="DL152" s="67"/>
      <c r="DM152" s="67"/>
      <c r="DN152" s="67"/>
      <c r="DO152" s="67"/>
      <c r="DP152" s="67"/>
      <c r="DQ152" s="67"/>
      <c r="DR152" s="67"/>
      <c r="DS152" s="67"/>
      <c r="DT152" s="67"/>
      <c r="DU152" s="67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</row>
    <row r="153" spans="1:194" x14ac:dyDescent="0.25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  <c r="AI153" s="67"/>
      <c r="AJ153" s="67"/>
      <c r="AK153" s="67"/>
      <c r="AL153" s="67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  <c r="BI153" s="67"/>
      <c r="BJ153" s="67"/>
      <c r="BK153" s="67"/>
      <c r="BL153" s="67"/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A153" s="67"/>
      <c r="CB153" s="67"/>
      <c r="CC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  <c r="CR153" s="67"/>
      <c r="CS153" s="67"/>
      <c r="CT153" s="67"/>
      <c r="CU153" s="67"/>
      <c r="CV153" s="67"/>
      <c r="CW153" s="67"/>
      <c r="CX153" s="67"/>
      <c r="CY153" s="67"/>
      <c r="CZ153" s="67"/>
      <c r="DA153" s="67"/>
      <c r="DB153" s="67"/>
      <c r="DC153" s="67"/>
      <c r="DD153" s="67"/>
      <c r="DE153" s="67"/>
      <c r="DF153" s="67"/>
      <c r="DG153" s="67"/>
      <c r="DH153" s="67"/>
      <c r="DI153" s="67"/>
      <c r="DJ153" s="67"/>
      <c r="DK153" s="67"/>
      <c r="DL153" s="67"/>
      <c r="DM153" s="67"/>
      <c r="DN153" s="67"/>
      <c r="DO153" s="67"/>
      <c r="DP153" s="67"/>
      <c r="DQ153" s="67"/>
      <c r="DR153" s="67"/>
      <c r="DS153" s="67"/>
      <c r="DT153" s="67"/>
      <c r="DU153" s="67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EZ153" s="6"/>
      <c r="FA153" s="6"/>
      <c r="FB153" s="6"/>
      <c r="FC153" s="6"/>
      <c r="FD153" s="6"/>
      <c r="FE153" s="6"/>
      <c r="FF153" s="6"/>
      <c r="FG153" s="6"/>
      <c r="FH153" s="6"/>
      <c r="FI153" s="6"/>
      <c r="FJ153" s="6"/>
      <c r="FK153" s="6"/>
      <c r="FL153" s="6"/>
      <c r="FM153" s="6"/>
      <c r="FN153" s="6"/>
      <c r="FO153" s="6"/>
      <c r="FP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</row>
    <row r="154" spans="1:194" x14ac:dyDescent="0.25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67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A154" s="67"/>
      <c r="CB154" s="67"/>
      <c r="CC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  <c r="CR154" s="67"/>
      <c r="CS154" s="67"/>
      <c r="CT154" s="67"/>
      <c r="CU154" s="67"/>
      <c r="CV154" s="67"/>
      <c r="CW154" s="67"/>
      <c r="CX154" s="67"/>
      <c r="CY154" s="67"/>
      <c r="CZ154" s="67"/>
      <c r="DA154" s="67"/>
      <c r="DB154" s="67"/>
      <c r="DC154" s="67"/>
      <c r="DD154" s="67"/>
      <c r="DE154" s="67"/>
      <c r="DF154" s="67"/>
      <c r="DG154" s="67"/>
      <c r="DH154" s="67"/>
      <c r="DI154" s="67"/>
      <c r="DJ154" s="67"/>
      <c r="DK154" s="67"/>
      <c r="DL154" s="67"/>
      <c r="DM154" s="67"/>
      <c r="DN154" s="67"/>
      <c r="DO154" s="67"/>
      <c r="DP154" s="67"/>
      <c r="DQ154" s="67"/>
      <c r="DR154" s="67"/>
      <c r="DS154" s="67"/>
      <c r="DT154" s="67"/>
      <c r="DU154" s="67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6"/>
      <c r="FH154" s="6"/>
      <c r="FI154" s="6"/>
      <c r="FJ154" s="6"/>
      <c r="FK154" s="6"/>
      <c r="FL154" s="6"/>
      <c r="FM154" s="6"/>
      <c r="FN154" s="6"/>
      <c r="FO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</row>
    <row r="155" spans="1:194" x14ac:dyDescent="0.25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  <c r="AI155" s="67"/>
      <c r="AJ155" s="67"/>
      <c r="AK155" s="67"/>
      <c r="AL155" s="67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  <c r="BI155" s="67"/>
      <c r="BJ155" s="67"/>
      <c r="BK155" s="67"/>
      <c r="BL155" s="67"/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A155" s="67"/>
      <c r="CB155" s="67"/>
      <c r="CC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  <c r="CR155" s="67"/>
      <c r="CS155" s="67"/>
      <c r="CT155" s="67"/>
      <c r="CU155" s="67"/>
      <c r="CV155" s="67"/>
      <c r="CW155" s="67"/>
      <c r="CX155" s="67"/>
      <c r="CY155" s="67"/>
      <c r="CZ155" s="67"/>
      <c r="DA155" s="67"/>
      <c r="DB155" s="67"/>
      <c r="DC155" s="67"/>
      <c r="DD155" s="67"/>
      <c r="DE155" s="67"/>
      <c r="DF155" s="67"/>
      <c r="DG155" s="67"/>
      <c r="DH155" s="67"/>
      <c r="DI155" s="67"/>
      <c r="DJ155" s="67"/>
      <c r="DK155" s="67"/>
      <c r="DL155" s="67"/>
      <c r="DM155" s="67"/>
      <c r="DN155" s="67"/>
      <c r="DO155" s="67"/>
      <c r="DP155" s="67"/>
      <c r="DQ155" s="67"/>
      <c r="DR155" s="67"/>
      <c r="DS155" s="67"/>
      <c r="DT155" s="67"/>
      <c r="DU155" s="67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</row>
    <row r="156" spans="1:194" x14ac:dyDescent="0.25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67"/>
      <c r="AG156" s="67"/>
      <c r="AH156" s="67"/>
      <c r="AI156" s="67"/>
      <c r="AJ156" s="67"/>
      <c r="AK156" s="67"/>
      <c r="AL156" s="67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  <c r="BI156" s="67"/>
      <c r="BJ156" s="67"/>
      <c r="BK156" s="67"/>
      <c r="BL156" s="67"/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A156" s="67"/>
      <c r="CB156" s="67"/>
      <c r="CC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  <c r="CR156" s="67"/>
      <c r="CS156" s="67"/>
      <c r="CT156" s="67"/>
      <c r="CU156" s="67"/>
      <c r="CV156" s="67"/>
      <c r="CW156" s="67"/>
      <c r="CX156" s="67"/>
      <c r="CY156" s="67"/>
      <c r="CZ156" s="67"/>
      <c r="DA156" s="67"/>
      <c r="DB156" s="67"/>
      <c r="DC156" s="67"/>
      <c r="DD156" s="67"/>
      <c r="DE156" s="67"/>
      <c r="DF156" s="67"/>
      <c r="DG156" s="67"/>
      <c r="DH156" s="67"/>
      <c r="DI156" s="67"/>
      <c r="DJ156" s="67"/>
      <c r="DK156" s="67"/>
      <c r="DL156" s="67"/>
      <c r="DM156" s="67"/>
      <c r="DN156" s="67"/>
      <c r="DO156" s="67"/>
      <c r="DP156" s="67"/>
      <c r="DQ156" s="67"/>
      <c r="DR156" s="67"/>
      <c r="DS156" s="67"/>
      <c r="DT156" s="67"/>
      <c r="DU156" s="67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6"/>
      <c r="FH156" s="6"/>
      <c r="FI156" s="6"/>
      <c r="FJ156" s="6"/>
      <c r="FK156" s="6"/>
      <c r="FL156" s="6"/>
      <c r="FM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</row>
    <row r="157" spans="1:194" x14ac:dyDescent="0.25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G157" s="67"/>
      <c r="AH157" s="67"/>
      <c r="AI157" s="67"/>
      <c r="AJ157" s="67"/>
      <c r="AK157" s="67"/>
      <c r="AL157" s="67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  <c r="BI157" s="67"/>
      <c r="BJ157" s="67"/>
      <c r="BK157" s="67"/>
      <c r="BL157" s="67"/>
      <c r="BM157" s="67"/>
      <c r="BN157" s="67"/>
      <c r="BO157" s="67"/>
      <c r="BP157" s="67"/>
      <c r="BQ157" s="67"/>
      <c r="BR157" s="67"/>
      <c r="BS157" s="67"/>
      <c r="BT157" s="67"/>
      <c r="BU157" s="67"/>
      <c r="BV157" s="67"/>
      <c r="BW157" s="67"/>
      <c r="BX157" s="67"/>
      <c r="BY157" s="67"/>
      <c r="BZ157" s="67"/>
      <c r="CA157" s="67"/>
      <c r="CB157" s="67"/>
      <c r="CC157" s="67"/>
      <c r="CD157" s="67"/>
      <c r="CE157" s="67"/>
      <c r="CF157" s="67"/>
      <c r="CG157" s="67"/>
      <c r="CH157" s="67"/>
      <c r="CI157" s="67"/>
      <c r="CJ157" s="67"/>
      <c r="CK157" s="67"/>
      <c r="CL157" s="67"/>
      <c r="CM157" s="67"/>
      <c r="CN157" s="67"/>
      <c r="CO157" s="67"/>
      <c r="CP157" s="67"/>
      <c r="CQ157" s="67"/>
      <c r="CR157" s="67"/>
      <c r="CS157" s="67"/>
      <c r="CT157" s="67"/>
      <c r="CU157" s="67"/>
      <c r="CV157" s="67"/>
      <c r="CW157" s="67"/>
      <c r="CX157" s="67"/>
      <c r="CY157" s="67"/>
      <c r="CZ157" s="67"/>
      <c r="DA157" s="67"/>
      <c r="DB157" s="67"/>
      <c r="DC157" s="67"/>
      <c r="DD157" s="67"/>
      <c r="DE157" s="67"/>
      <c r="DF157" s="67"/>
      <c r="DG157" s="67"/>
      <c r="DH157" s="67"/>
      <c r="DI157" s="67"/>
      <c r="DJ157" s="67"/>
      <c r="DK157" s="67"/>
      <c r="DL157" s="67"/>
      <c r="DM157" s="67"/>
      <c r="DN157" s="67"/>
      <c r="DO157" s="67"/>
      <c r="DP157" s="67"/>
      <c r="DQ157" s="67"/>
      <c r="DR157" s="67"/>
      <c r="DS157" s="67"/>
      <c r="DT157" s="67"/>
      <c r="DU157" s="67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  <c r="ER157" s="6"/>
      <c r="ES157" s="6"/>
      <c r="ET157" s="6"/>
      <c r="EU157" s="6"/>
      <c r="EV157" s="6"/>
      <c r="EW157" s="6"/>
      <c r="EX157" s="6"/>
      <c r="EY157" s="6"/>
      <c r="EZ157" s="6"/>
      <c r="FA157" s="6"/>
      <c r="FB157" s="6"/>
      <c r="FC157" s="6"/>
      <c r="FD157" s="6"/>
      <c r="FE157" s="6"/>
      <c r="FF157" s="6"/>
      <c r="FG157" s="6"/>
      <c r="FH157" s="6"/>
      <c r="FI157" s="6"/>
      <c r="FJ157" s="6"/>
      <c r="FK157" s="6"/>
      <c r="FL157" s="6"/>
      <c r="FM157" s="6"/>
      <c r="FN157" s="6"/>
      <c r="FO157" s="6"/>
      <c r="FP157" s="6"/>
      <c r="FQ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</row>
    <row r="158" spans="1:194" x14ac:dyDescent="0.25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  <c r="AI158" s="67"/>
      <c r="AJ158" s="67"/>
      <c r="AK158" s="67"/>
      <c r="AL158" s="67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  <c r="BI158" s="67"/>
      <c r="BJ158" s="67"/>
      <c r="BK158" s="67"/>
      <c r="BL158" s="67"/>
      <c r="BM158" s="67"/>
      <c r="BN158" s="67"/>
      <c r="BO158" s="67"/>
      <c r="BP158" s="67"/>
      <c r="BQ158" s="67"/>
      <c r="BR158" s="67"/>
      <c r="BS158" s="67"/>
      <c r="BT158" s="67"/>
      <c r="BU158" s="67"/>
      <c r="BV158" s="67"/>
      <c r="BW158" s="67"/>
      <c r="BX158" s="67"/>
      <c r="BY158" s="67"/>
      <c r="BZ158" s="67"/>
      <c r="CA158" s="67"/>
      <c r="CB158" s="67"/>
      <c r="CC158" s="67"/>
      <c r="CD158" s="67"/>
      <c r="CE158" s="67"/>
      <c r="CF158" s="67"/>
      <c r="CG158" s="67"/>
      <c r="CH158" s="67"/>
      <c r="CI158" s="67"/>
      <c r="CJ158" s="67"/>
      <c r="CK158" s="67"/>
      <c r="CL158" s="67"/>
      <c r="CM158" s="67"/>
      <c r="CN158" s="67"/>
      <c r="CO158" s="67"/>
      <c r="CP158" s="67"/>
      <c r="CQ158" s="67"/>
      <c r="CR158" s="67"/>
      <c r="CS158" s="67"/>
      <c r="CT158" s="67"/>
      <c r="CU158" s="67"/>
      <c r="CV158" s="67"/>
      <c r="CW158" s="67"/>
      <c r="CX158" s="67"/>
      <c r="CY158" s="67"/>
      <c r="CZ158" s="67"/>
      <c r="DA158" s="67"/>
      <c r="DB158" s="67"/>
      <c r="DC158" s="67"/>
      <c r="DD158" s="67"/>
      <c r="DE158" s="67"/>
      <c r="DF158" s="67"/>
      <c r="DG158" s="67"/>
      <c r="DH158" s="67"/>
      <c r="DI158" s="67"/>
      <c r="DJ158" s="67"/>
      <c r="DK158" s="67"/>
      <c r="DL158" s="67"/>
      <c r="DM158" s="67"/>
      <c r="DN158" s="67"/>
      <c r="DO158" s="67"/>
      <c r="DP158" s="67"/>
      <c r="DQ158" s="67"/>
      <c r="DR158" s="67"/>
      <c r="DS158" s="67"/>
      <c r="DT158" s="67"/>
      <c r="DU158" s="67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EZ158" s="6"/>
      <c r="FA158" s="6"/>
      <c r="FB158" s="6"/>
      <c r="FC158" s="6"/>
      <c r="FD158" s="6"/>
      <c r="FE158" s="6"/>
      <c r="FF158" s="6"/>
      <c r="FG158" s="6"/>
      <c r="FH158" s="6"/>
      <c r="FI158" s="6"/>
      <c r="FJ158" s="6"/>
      <c r="FK158" s="6"/>
      <c r="FL158" s="6"/>
      <c r="FM158" s="6"/>
      <c r="FN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</row>
    <row r="159" spans="1:194" x14ac:dyDescent="0.25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AG159" s="67"/>
      <c r="AH159" s="67"/>
      <c r="AI159" s="67"/>
      <c r="AJ159" s="67"/>
      <c r="AK159" s="67"/>
      <c r="AL159" s="67"/>
      <c r="AM159" s="67"/>
      <c r="AN159" s="67"/>
      <c r="AO159" s="67"/>
      <c r="AP159" s="67"/>
      <c r="AQ159" s="67"/>
      <c r="AR159" s="67"/>
      <c r="AS159" s="67"/>
      <c r="AT159" s="67"/>
      <c r="AU159" s="67"/>
      <c r="AV159" s="67"/>
      <c r="AW159" s="67"/>
      <c r="AX159" s="67"/>
      <c r="AY159" s="67"/>
      <c r="AZ159" s="67"/>
      <c r="BA159" s="67"/>
      <c r="BB159" s="67"/>
      <c r="BC159" s="67"/>
      <c r="BD159" s="67"/>
      <c r="BE159" s="67"/>
      <c r="BF159" s="67"/>
      <c r="BG159" s="67"/>
      <c r="BH159" s="67"/>
      <c r="BI159" s="67"/>
      <c r="BJ159" s="67"/>
      <c r="BK159" s="67"/>
      <c r="BL159" s="67"/>
      <c r="BM159" s="67"/>
      <c r="BN159" s="67"/>
      <c r="BO159" s="67"/>
      <c r="BP159" s="67"/>
      <c r="BQ159" s="67"/>
      <c r="BR159" s="67"/>
      <c r="BS159" s="67"/>
      <c r="BT159" s="67"/>
      <c r="BU159" s="67"/>
      <c r="BV159" s="67"/>
      <c r="BW159" s="67"/>
      <c r="BX159" s="67"/>
      <c r="BY159" s="67"/>
      <c r="BZ159" s="67"/>
      <c r="CA159" s="67"/>
      <c r="CB159" s="67"/>
      <c r="CC159" s="67"/>
      <c r="CD159" s="67"/>
      <c r="CE159" s="67"/>
      <c r="CF159" s="67"/>
      <c r="CG159" s="67"/>
      <c r="CH159" s="67"/>
      <c r="CI159" s="67"/>
      <c r="CJ159" s="67"/>
      <c r="CK159" s="67"/>
      <c r="CL159" s="67"/>
      <c r="CM159" s="67"/>
      <c r="CN159" s="67"/>
      <c r="CO159" s="67"/>
      <c r="CP159" s="67"/>
      <c r="CQ159" s="67"/>
      <c r="CR159" s="67"/>
      <c r="CS159" s="67"/>
      <c r="CT159" s="67"/>
      <c r="CU159" s="67"/>
      <c r="CV159" s="67"/>
      <c r="CW159" s="67"/>
      <c r="CX159" s="67"/>
      <c r="CY159" s="67"/>
      <c r="CZ159" s="67"/>
      <c r="DA159" s="67"/>
      <c r="DB159" s="67"/>
      <c r="DC159" s="67"/>
      <c r="DD159" s="67"/>
      <c r="DE159" s="67"/>
      <c r="DF159" s="67"/>
      <c r="DG159" s="67"/>
      <c r="DH159" s="67"/>
      <c r="DI159" s="67"/>
      <c r="DJ159" s="67"/>
      <c r="DK159" s="67"/>
      <c r="DL159" s="67"/>
      <c r="DM159" s="67"/>
      <c r="DN159" s="67"/>
      <c r="DO159" s="67"/>
      <c r="DP159" s="67"/>
      <c r="DQ159" s="67"/>
      <c r="DR159" s="67"/>
      <c r="DS159" s="67"/>
      <c r="DT159" s="67"/>
      <c r="DU159" s="67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</row>
    <row r="160" spans="1:194" x14ac:dyDescent="0.25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  <c r="AF160" s="67"/>
      <c r="AG160" s="67"/>
      <c r="AH160" s="67"/>
      <c r="AI160" s="67"/>
      <c r="AJ160" s="67"/>
      <c r="AK160" s="67"/>
      <c r="AL160" s="67"/>
      <c r="AM160" s="67"/>
      <c r="AN160" s="67"/>
      <c r="AO160" s="67"/>
      <c r="AP160" s="67"/>
      <c r="AQ160" s="67"/>
      <c r="AR160" s="67"/>
      <c r="AS160" s="67"/>
      <c r="AT160" s="67"/>
      <c r="AU160" s="67"/>
      <c r="AV160" s="67"/>
      <c r="AW160" s="67"/>
      <c r="AX160" s="67"/>
      <c r="AY160" s="67"/>
      <c r="AZ160" s="67"/>
      <c r="BA160" s="67"/>
      <c r="BB160" s="67"/>
      <c r="BC160" s="67"/>
      <c r="BD160" s="67"/>
      <c r="BE160" s="67"/>
      <c r="BF160" s="67"/>
      <c r="BG160" s="67"/>
      <c r="BH160" s="67"/>
      <c r="BI160" s="67"/>
      <c r="BJ160" s="67"/>
      <c r="BK160" s="67"/>
      <c r="BL160" s="67"/>
      <c r="BM160" s="67"/>
      <c r="BN160" s="67"/>
      <c r="BO160" s="67"/>
      <c r="BP160" s="67"/>
      <c r="BQ160" s="67"/>
      <c r="BR160" s="67"/>
      <c r="BS160" s="67"/>
      <c r="BT160" s="67"/>
      <c r="BU160" s="67"/>
      <c r="BV160" s="67"/>
      <c r="BW160" s="67"/>
      <c r="BX160" s="67"/>
      <c r="BY160" s="67"/>
      <c r="BZ160" s="67"/>
      <c r="CA160" s="67"/>
      <c r="CB160" s="67"/>
      <c r="CC160" s="67"/>
      <c r="CD160" s="67"/>
      <c r="CE160" s="67"/>
      <c r="CF160" s="67"/>
      <c r="CG160" s="67"/>
      <c r="CH160" s="67"/>
      <c r="CI160" s="67"/>
      <c r="CJ160" s="67"/>
      <c r="CK160" s="67"/>
      <c r="CL160" s="67"/>
      <c r="CM160" s="67"/>
      <c r="CN160" s="67"/>
      <c r="CO160" s="67"/>
      <c r="CP160" s="67"/>
      <c r="CQ160" s="67"/>
      <c r="CR160" s="67"/>
      <c r="CS160" s="67"/>
      <c r="CT160" s="67"/>
      <c r="CU160" s="67"/>
      <c r="CV160" s="67"/>
      <c r="CW160" s="67"/>
      <c r="CX160" s="67"/>
      <c r="CY160" s="67"/>
      <c r="CZ160" s="67"/>
      <c r="DA160" s="67"/>
      <c r="DB160" s="67"/>
      <c r="DC160" s="67"/>
      <c r="DD160" s="67"/>
      <c r="DE160" s="67"/>
      <c r="DF160" s="67"/>
      <c r="DG160" s="67"/>
      <c r="DH160" s="67"/>
      <c r="DI160" s="67"/>
      <c r="DJ160" s="67"/>
      <c r="DK160" s="67"/>
      <c r="DL160" s="67"/>
      <c r="DM160" s="67"/>
      <c r="DN160" s="67"/>
      <c r="DO160" s="67"/>
      <c r="DP160" s="67"/>
      <c r="DQ160" s="67"/>
      <c r="DR160" s="67"/>
      <c r="DS160" s="67"/>
      <c r="DT160" s="67"/>
      <c r="DU160" s="67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</row>
    <row r="161" spans="1:194" x14ac:dyDescent="0.25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7"/>
      <c r="AH161" s="67"/>
      <c r="AI161" s="67"/>
      <c r="AJ161" s="67"/>
      <c r="AK161" s="67"/>
      <c r="AL161" s="67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  <c r="BI161" s="67"/>
      <c r="BJ161" s="67"/>
      <c r="BK161" s="67"/>
      <c r="BL161" s="67"/>
      <c r="BM161" s="67"/>
      <c r="BN161" s="67"/>
      <c r="BO161" s="67"/>
      <c r="BP161" s="67"/>
      <c r="BQ161" s="67"/>
      <c r="BR161" s="67"/>
      <c r="BS161" s="67"/>
      <c r="BT161" s="67"/>
      <c r="BU161" s="67"/>
      <c r="BV161" s="67"/>
      <c r="BW161" s="67"/>
      <c r="BX161" s="67"/>
      <c r="BY161" s="67"/>
      <c r="BZ161" s="67"/>
      <c r="CA161" s="67"/>
      <c r="CB161" s="67"/>
      <c r="CC161" s="67"/>
      <c r="CD161" s="67"/>
      <c r="CE161" s="67"/>
      <c r="CF161" s="67"/>
      <c r="CG161" s="67"/>
      <c r="CH161" s="67"/>
      <c r="CI161" s="67"/>
      <c r="CJ161" s="67"/>
      <c r="CK161" s="67"/>
      <c r="CL161" s="67"/>
      <c r="CM161" s="67"/>
      <c r="CN161" s="67"/>
      <c r="CO161" s="67"/>
      <c r="CP161" s="67"/>
      <c r="CQ161" s="67"/>
      <c r="CR161" s="67"/>
      <c r="CS161" s="67"/>
      <c r="CT161" s="67"/>
      <c r="CU161" s="67"/>
      <c r="CV161" s="67"/>
      <c r="CW161" s="67"/>
      <c r="CX161" s="67"/>
      <c r="CY161" s="67"/>
      <c r="CZ161" s="67"/>
      <c r="DA161" s="67"/>
      <c r="DB161" s="67"/>
      <c r="DC161" s="67"/>
      <c r="DD161" s="67"/>
      <c r="DE161" s="67"/>
      <c r="DF161" s="67"/>
      <c r="DG161" s="67"/>
      <c r="DH161" s="67"/>
      <c r="DI161" s="67"/>
      <c r="DJ161" s="67"/>
      <c r="DK161" s="67"/>
      <c r="DL161" s="67"/>
      <c r="DM161" s="67"/>
      <c r="DN161" s="67"/>
      <c r="DO161" s="67"/>
      <c r="DP161" s="67"/>
      <c r="DQ161" s="67"/>
      <c r="DR161" s="67"/>
      <c r="DS161" s="67"/>
      <c r="DT161" s="67"/>
      <c r="DU161" s="67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</row>
    <row r="162" spans="1:194" x14ac:dyDescent="0.25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  <c r="AK162" s="67"/>
      <c r="AL162" s="67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  <c r="BI162" s="67"/>
      <c r="BJ162" s="67"/>
      <c r="BK162" s="67"/>
      <c r="BL162" s="67"/>
      <c r="BM162" s="67"/>
      <c r="BN162" s="67"/>
      <c r="BO162" s="67"/>
      <c r="BP162" s="67"/>
      <c r="BQ162" s="67"/>
      <c r="BR162" s="67"/>
      <c r="BS162" s="67"/>
      <c r="BT162" s="67"/>
      <c r="BU162" s="67"/>
      <c r="BV162" s="67"/>
      <c r="BW162" s="67"/>
      <c r="BX162" s="67"/>
      <c r="BY162" s="67"/>
      <c r="BZ162" s="67"/>
      <c r="CA162" s="67"/>
      <c r="CB162" s="67"/>
      <c r="CC162" s="67"/>
      <c r="CD162" s="67"/>
      <c r="CE162" s="67"/>
      <c r="CF162" s="67"/>
      <c r="CG162" s="67"/>
      <c r="CH162" s="67"/>
      <c r="CI162" s="67"/>
      <c r="CJ162" s="67"/>
      <c r="CK162" s="67"/>
      <c r="CL162" s="67"/>
      <c r="CM162" s="67"/>
      <c r="CN162" s="67"/>
      <c r="CO162" s="67"/>
      <c r="CP162" s="67"/>
      <c r="CQ162" s="67"/>
      <c r="CR162" s="67"/>
      <c r="CS162" s="67"/>
      <c r="CT162" s="67"/>
      <c r="CU162" s="67"/>
      <c r="CV162" s="67"/>
      <c r="CW162" s="67"/>
      <c r="CX162" s="67"/>
      <c r="CY162" s="67"/>
      <c r="CZ162" s="67"/>
      <c r="DA162" s="67"/>
      <c r="DB162" s="67"/>
      <c r="DC162" s="67"/>
      <c r="DD162" s="67"/>
      <c r="DE162" s="67"/>
      <c r="DF162" s="67"/>
      <c r="DG162" s="67"/>
      <c r="DH162" s="67"/>
      <c r="DI162" s="67"/>
      <c r="DJ162" s="67"/>
      <c r="DK162" s="67"/>
      <c r="DL162" s="67"/>
      <c r="DM162" s="67"/>
      <c r="DN162" s="67"/>
      <c r="DO162" s="67"/>
      <c r="DP162" s="67"/>
      <c r="DQ162" s="67"/>
      <c r="DR162" s="67"/>
      <c r="DS162" s="67"/>
      <c r="DT162" s="67"/>
      <c r="DU162" s="67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</row>
    <row r="163" spans="1:194" x14ac:dyDescent="0.25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  <c r="AF163" s="67"/>
      <c r="AG163" s="67"/>
      <c r="AH163" s="67"/>
      <c r="AI163" s="67"/>
      <c r="AJ163" s="67"/>
      <c r="AK163" s="67"/>
      <c r="AL163" s="67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  <c r="BI163" s="67"/>
      <c r="BJ163" s="67"/>
      <c r="BK163" s="67"/>
      <c r="BL163" s="67"/>
      <c r="BM163" s="67"/>
      <c r="BN163" s="67"/>
      <c r="BO163" s="67"/>
      <c r="BP163" s="67"/>
      <c r="BQ163" s="67"/>
      <c r="BR163" s="67"/>
      <c r="BS163" s="67"/>
      <c r="BT163" s="67"/>
      <c r="BU163" s="67"/>
      <c r="BV163" s="67"/>
      <c r="BW163" s="67"/>
      <c r="BX163" s="67"/>
      <c r="BY163" s="67"/>
      <c r="BZ163" s="67"/>
      <c r="CA163" s="67"/>
      <c r="CB163" s="67"/>
      <c r="CC163" s="67"/>
      <c r="CD163" s="67"/>
      <c r="CE163" s="67"/>
      <c r="CF163" s="67"/>
      <c r="CG163" s="67"/>
      <c r="CH163" s="67"/>
      <c r="CI163" s="67"/>
      <c r="CJ163" s="67"/>
      <c r="CK163" s="67"/>
      <c r="CL163" s="67"/>
      <c r="CM163" s="67"/>
      <c r="CN163" s="67"/>
      <c r="CO163" s="67"/>
      <c r="CP163" s="67"/>
      <c r="CQ163" s="67"/>
      <c r="CR163" s="67"/>
      <c r="CS163" s="67"/>
      <c r="CT163" s="67"/>
      <c r="CU163" s="67"/>
      <c r="CV163" s="67"/>
      <c r="CW163" s="67"/>
      <c r="CX163" s="67"/>
      <c r="CY163" s="67"/>
      <c r="CZ163" s="67"/>
      <c r="DA163" s="67"/>
      <c r="DB163" s="67"/>
      <c r="DC163" s="67"/>
      <c r="DD163" s="67"/>
      <c r="DE163" s="67"/>
      <c r="DF163" s="67"/>
      <c r="DG163" s="67"/>
      <c r="DH163" s="67"/>
      <c r="DI163" s="67"/>
      <c r="DJ163" s="67"/>
      <c r="DK163" s="67"/>
      <c r="DL163" s="67"/>
      <c r="DM163" s="67"/>
      <c r="DN163" s="67"/>
      <c r="DO163" s="67"/>
      <c r="DP163" s="67"/>
      <c r="DQ163" s="67"/>
      <c r="DR163" s="67"/>
      <c r="DS163" s="67"/>
      <c r="DT163" s="67"/>
      <c r="DU163" s="67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  <c r="ER163" s="6"/>
      <c r="ES163" s="6"/>
      <c r="ET163" s="6"/>
      <c r="EU163" s="6"/>
      <c r="EV163" s="6"/>
      <c r="EW163" s="6"/>
      <c r="EX163" s="6"/>
      <c r="EY163" s="6"/>
      <c r="EZ163" s="6"/>
      <c r="FA163" s="6"/>
      <c r="FB163" s="6"/>
      <c r="FC163" s="6"/>
      <c r="FD163" s="6"/>
      <c r="FE163" s="6"/>
      <c r="FF163" s="6"/>
      <c r="FG163" s="6"/>
      <c r="FH163" s="6"/>
      <c r="FI163" s="6"/>
      <c r="FJ163" s="6"/>
      <c r="FK163" s="6"/>
      <c r="FL163" s="6"/>
      <c r="FM163" s="6"/>
      <c r="FN163" s="6"/>
      <c r="FO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6"/>
      <c r="GJ163" s="6"/>
      <c r="GK163" s="6"/>
      <c r="GL163" s="6"/>
    </row>
    <row r="164" spans="1:194" x14ac:dyDescent="0.25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67"/>
      <c r="AK164" s="67"/>
      <c r="AL164" s="67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  <c r="BI164" s="67"/>
      <c r="BJ164" s="67"/>
      <c r="BK164" s="67"/>
      <c r="BL164" s="67"/>
      <c r="BM164" s="67"/>
      <c r="BN164" s="67"/>
      <c r="BO164" s="67"/>
      <c r="BP164" s="67"/>
      <c r="BQ164" s="67"/>
      <c r="BR164" s="67"/>
      <c r="BS164" s="67"/>
      <c r="BT164" s="67"/>
      <c r="BU164" s="67"/>
      <c r="BV164" s="67"/>
      <c r="BW164" s="67"/>
      <c r="BX164" s="67"/>
      <c r="BY164" s="67"/>
      <c r="BZ164" s="67"/>
      <c r="CA164" s="67"/>
      <c r="CB164" s="67"/>
      <c r="CC164" s="67"/>
      <c r="CD164" s="67"/>
      <c r="CE164" s="67"/>
      <c r="CF164" s="67"/>
      <c r="CG164" s="67"/>
      <c r="CH164" s="67"/>
      <c r="CI164" s="67"/>
      <c r="CJ164" s="67"/>
      <c r="CK164" s="67"/>
      <c r="CL164" s="67"/>
      <c r="CM164" s="67"/>
      <c r="CN164" s="67"/>
      <c r="CO164" s="67"/>
      <c r="CP164" s="67"/>
      <c r="CQ164" s="67"/>
      <c r="CR164" s="67"/>
      <c r="CS164" s="67"/>
      <c r="CT164" s="67"/>
      <c r="CU164" s="67"/>
      <c r="CV164" s="67"/>
      <c r="CW164" s="67"/>
      <c r="CX164" s="67"/>
      <c r="CY164" s="67"/>
      <c r="CZ164" s="67"/>
      <c r="DA164" s="67"/>
      <c r="DB164" s="67"/>
      <c r="DC164" s="67"/>
      <c r="DD164" s="67"/>
      <c r="DE164" s="67"/>
      <c r="DF164" s="67"/>
      <c r="DG164" s="67"/>
      <c r="DH164" s="67"/>
      <c r="DI164" s="67"/>
      <c r="DJ164" s="67"/>
      <c r="DK164" s="67"/>
      <c r="DL164" s="67"/>
      <c r="DM164" s="67"/>
      <c r="DN164" s="67"/>
      <c r="DO164" s="67"/>
      <c r="DP164" s="67"/>
      <c r="DQ164" s="67"/>
      <c r="DR164" s="67"/>
      <c r="DS164" s="67"/>
      <c r="DT164" s="67"/>
      <c r="DU164" s="67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  <c r="ER164" s="6"/>
      <c r="ES164" s="6"/>
      <c r="ET164" s="6"/>
      <c r="EU164" s="6"/>
      <c r="EV164" s="6"/>
      <c r="EW164" s="6"/>
      <c r="EX164" s="6"/>
      <c r="EY164" s="6"/>
      <c r="EZ164" s="6"/>
      <c r="FA164" s="6"/>
      <c r="FB164" s="6"/>
      <c r="FC164" s="6"/>
      <c r="FD164" s="6"/>
      <c r="FE164" s="6"/>
      <c r="FF164" s="6"/>
      <c r="FG164" s="6"/>
      <c r="FH164" s="6"/>
      <c r="FI164" s="6"/>
      <c r="FJ164" s="6"/>
      <c r="FK164" s="6"/>
      <c r="FL164" s="6"/>
      <c r="FM164" s="6"/>
      <c r="FN164" s="6"/>
      <c r="FO164" s="6"/>
      <c r="FP164" s="6"/>
      <c r="FQ164" s="6"/>
      <c r="FR164" s="6"/>
      <c r="FS164" s="6"/>
      <c r="FT164" s="6"/>
      <c r="FU164" s="6"/>
      <c r="FV164" s="6"/>
      <c r="FW164" s="6"/>
      <c r="FX164" s="6"/>
      <c r="FY164" s="6"/>
      <c r="FZ164" s="6"/>
      <c r="GA164" s="6"/>
      <c r="GB164" s="6"/>
      <c r="GC164" s="6"/>
      <c r="GD164" s="6"/>
      <c r="GE164" s="6"/>
      <c r="GF164" s="6"/>
      <c r="GG164" s="6"/>
      <c r="GH164" s="6"/>
      <c r="GI164" s="6"/>
      <c r="GJ164" s="6"/>
      <c r="GK164" s="6"/>
      <c r="GL164" s="6"/>
    </row>
    <row r="165" spans="1:194" x14ac:dyDescent="0.25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67"/>
      <c r="AK165" s="67"/>
      <c r="AL165" s="67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/>
      <c r="BH165" s="67"/>
      <c r="BI165" s="67"/>
      <c r="BJ165" s="67"/>
      <c r="BK165" s="67"/>
      <c r="BL165" s="67"/>
      <c r="BM165" s="67"/>
      <c r="BN165" s="67"/>
      <c r="BO165" s="67"/>
      <c r="BP165" s="67"/>
      <c r="BQ165" s="67"/>
      <c r="BR165" s="67"/>
      <c r="BS165" s="67"/>
      <c r="BT165" s="67"/>
      <c r="BU165" s="67"/>
      <c r="BV165" s="67"/>
      <c r="BW165" s="67"/>
      <c r="BX165" s="67"/>
      <c r="BY165" s="67"/>
      <c r="BZ165" s="67"/>
      <c r="CA165" s="67"/>
      <c r="CB165" s="67"/>
      <c r="CC165" s="67"/>
      <c r="CD165" s="67"/>
      <c r="CE165" s="67"/>
      <c r="CF165" s="67"/>
      <c r="CG165" s="67"/>
      <c r="CH165" s="67"/>
      <c r="CI165" s="67"/>
      <c r="CJ165" s="67"/>
      <c r="CK165" s="67"/>
      <c r="CL165" s="67"/>
      <c r="CM165" s="67"/>
      <c r="CN165" s="67"/>
      <c r="CO165" s="67"/>
      <c r="CP165" s="67"/>
      <c r="CQ165" s="67"/>
      <c r="CR165" s="67"/>
      <c r="CS165" s="67"/>
      <c r="CT165" s="67"/>
      <c r="CU165" s="67"/>
      <c r="CV165" s="67"/>
      <c r="CW165" s="67"/>
      <c r="CX165" s="67"/>
      <c r="CY165" s="67"/>
      <c r="CZ165" s="67"/>
      <c r="DA165" s="67"/>
      <c r="DB165" s="67"/>
      <c r="DC165" s="67"/>
      <c r="DD165" s="67"/>
      <c r="DE165" s="67"/>
      <c r="DF165" s="67"/>
      <c r="DG165" s="67"/>
      <c r="DH165" s="67"/>
      <c r="DI165" s="67"/>
      <c r="DJ165" s="67"/>
      <c r="DK165" s="67"/>
      <c r="DL165" s="67"/>
      <c r="DM165" s="67"/>
      <c r="DN165" s="67"/>
      <c r="DO165" s="67"/>
      <c r="DP165" s="67"/>
      <c r="DQ165" s="67"/>
      <c r="DR165" s="67"/>
      <c r="DS165" s="67"/>
      <c r="DT165" s="67"/>
      <c r="DU165" s="67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  <c r="ER165" s="6"/>
      <c r="ES165" s="6"/>
      <c r="ET165" s="6"/>
      <c r="EU165" s="6"/>
      <c r="EV165" s="6"/>
      <c r="EW165" s="6"/>
      <c r="EX165" s="6"/>
      <c r="EY165" s="6"/>
      <c r="EZ165" s="6"/>
      <c r="FA165" s="6"/>
      <c r="FB165" s="6"/>
      <c r="FC165" s="6"/>
      <c r="FD165" s="6"/>
      <c r="FE165" s="6"/>
      <c r="FF165" s="6"/>
      <c r="FG165" s="6"/>
      <c r="FH165" s="6"/>
      <c r="FI165" s="6"/>
      <c r="FJ165" s="6"/>
      <c r="FK165" s="6"/>
      <c r="FL165" s="6"/>
      <c r="FM165" s="6"/>
      <c r="FN165" s="6"/>
      <c r="FO165" s="6"/>
      <c r="FP165" s="6"/>
      <c r="FQ165" s="6"/>
      <c r="FR165" s="6"/>
      <c r="FS165" s="6"/>
      <c r="FT165" s="6"/>
      <c r="FU165" s="6"/>
      <c r="FV165" s="6"/>
      <c r="FW165" s="6"/>
      <c r="FX165" s="6"/>
      <c r="FY165" s="6"/>
      <c r="FZ165" s="6"/>
      <c r="GA165" s="6"/>
      <c r="GB165" s="6"/>
      <c r="GC165" s="6"/>
      <c r="GD165" s="6"/>
      <c r="GE165" s="6"/>
      <c r="GF165" s="6"/>
      <c r="GG165" s="6"/>
      <c r="GH165" s="6"/>
      <c r="GI165" s="6"/>
      <c r="GJ165" s="6"/>
      <c r="GK165" s="6"/>
      <c r="GL165" s="6"/>
    </row>
    <row r="166" spans="1:194" x14ac:dyDescent="0.25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67"/>
      <c r="AK166" s="67"/>
      <c r="AL166" s="67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  <c r="BI166" s="67"/>
      <c r="BJ166" s="67"/>
      <c r="BK166" s="67"/>
      <c r="BL166" s="67"/>
      <c r="BM166" s="67"/>
      <c r="BN166" s="67"/>
      <c r="BO166" s="67"/>
      <c r="BP166" s="67"/>
      <c r="BQ166" s="67"/>
      <c r="BR166" s="67"/>
      <c r="BS166" s="67"/>
      <c r="BT166" s="67"/>
      <c r="BU166" s="67"/>
      <c r="BV166" s="67"/>
      <c r="BW166" s="67"/>
      <c r="BX166" s="67"/>
      <c r="BY166" s="67"/>
      <c r="BZ166" s="67"/>
      <c r="CA166" s="67"/>
      <c r="CB166" s="67"/>
      <c r="CC166" s="67"/>
      <c r="CD166" s="67"/>
      <c r="CE166" s="67"/>
      <c r="CF166" s="67"/>
      <c r="CG166" s="67"/>
      <c r="CH166" s="67"/>
      <c r="CI166" s="67"/>
      <c r="CJ166" s="67"/>
      <c r="CK166" s="67"/>
      <c r="CL166" s="67"/>
      <c r="CM166" s="67"/>
      <c r="CN166" s="67"/>
      <c r="CO166" s="67"/>
      <c r="CP166" s="67"/>
      <c r="CQ166" s="67"/>
      <c r="CR166" s="67"/>
      <c r="CS166" s="67"/>
      <c r="CT166" s="67"/>
      <c r="CU166" s="67"/>
      <c r="CV166" s="67"/>
      <c r="CW166" s="67"/>
      <c r="CX166" s="67"/>
      <c r="CY166" s="67"/>
      <c r="CZ166" s="67"/>
      <c r="DA166" s="67"/>
      <c r="DB166" s="67"/>
      <c r="DC166" s="67"/>
      <c r="DD166" s="67"/>
      <c r="DE166" s="67"/>
      <c r="DF166" s="67"/>
      <c r="DG166" s="67"/>
      <c r="DH166" s="67"/>
      <c r="DI166" s="67"/>
      <c r="DJ166" s="67"/>
      <c r="DK166" s="67"/>
      <c r="DL166" s="67"/>
      <c r="DM166" s="67"/>
      <c r="DN166" s="67"/>
      <c r="DO166" s="67"/>
      <c r="DP166" s="67"/>
      <c r="DQ166" s="67"/>
      <c r="DR166" s="67"/>
      <c r="DS166" s="67"/>
      <c r="DT166" s="67"/>
      <c r="DU166" s="67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  <c r="ER166" s="6"/>
      <c r="ES166" s="6"/>
      <c r="ET166" s="6"/>
      <c r="EU166" s="6"/>
      <c r="EV166" s="6"/>
      <c r="EW166" s="6"/>
      <c r="EX166" s="6"/>
      <c r="EY166" s="6"/>
      <c r="EZ166" s="6"/>
      <c r="FA166" s="6"/>
      <c r="FB166" s="6"/>
      <c r="FC166" s="6"/>
      <c r="FD166" s="6"/>
      <c r="FE166" s="6"/>
      <c r="FF166" s="6"/>
      <c r="FG166" s="6"/>
      <c r="FH166" s="6"/>
      <c r="FI166" s="6"/>
      <c r="FJ166" s="6"/>
      <c r="FK166" s="6"/>
      <c r="FL166" s="6"/>
      <c r="FM166" s="6"/>
      <c r="FN166" s="6"/>
      <c r="FO166" s="6"/>
      <c r="FP166" s="6"/>
      <c r="FQ166" s="6"/>
      <c r="FR166" s="6"/>
      <c r="FS166" s="6"/>
      <c r="FT166" s="6"/>
      <c r="FU166" s="6"/>
      <c r="FV166" s="6"/>
      <c r="FW166" s="6"/>
      <c r="FX166" s="6"/>
      <c r="FY166" s="6"/>
      <c r="FZ166" s="6"/>
      <c r="GA166" s="6"/>
      <c r="GB166" s="6"/>
      <c r="GC166" s="6"/>
      <c r="GD166" s="6"/>
      <c r="GE166" s="6"/>
      <c r="GF166" s="6"/>
      <c r="GG166" s="6"/>
      <c r="GH166" s="6"/>
      <c r="GI166" s="6"/>
      <c r="GJ166" s="6"/>
      <c r="GK166" s="6"/>
      <c r="GL166" s="6"/>
    </row>
    <row r="167" spans="1:194" x14ac:dyDescent="0.25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/>
      <c r="BH167" s="67"/>
      <c r="BI167" s="67"/>
      <c r="BJ167" s="67"/>
      <c r="BK167" s="67"/>
      <c r="BL167" s="67"/>
      <c r="BM167" s="67"/>
      <c r="BN167" s="67"/>
      <c r="BO167" s="67"/>
      <c r="BP167" s="67"/>
      <c r="BQ167" s="67"/>
      <c r="BR167" s="67"/>
      <c r="BS167" s="67"/>
      <c r="BT167" s="67"/>
      <c r="BU167" s="67"/>
      <c r="BV167" s="67"/>
      <c r="BW167" s="67"/>
      <c r="BX167" s="67"/>
      <c r="BY167" s="67"/>
      <c r="BZ167" s="67"/>
      <c r="CA167" s="67"/>
      <c r="CB167" s="67"/>
      <c r="CC167" s="67"/>
      <c r="CD167" s="67"/>
      <c r="CE167" s="67"/>
      <c r="CF167" s="67"/>
      <c r="CG167" s="67"/>
      <c r="CH167" s="67"/>
      <c r="CI167" s="67"/>
      <c r="CJ167" s="67"/>
      <c r="CK167" s="67"/>
      <c r="CL167" s="67"/>
      <c r="CM167" s="67"/>
      <c r="CN167" s="67"/>
      <c r="CO167" s="67"/>
      <c r="CP167" s="67"/>
      <c r="CQ167" s="67"/>
      <c r="CR167" s="67"/>
      <c r="CS167" s="67"/>
      <c r="CT167" s="67"/>
      <c r="CU167" s="67"/>
      <c r="CV167" s="67"/>
      <c r="CW167" s="67"/>
      <c r="CX167" s="67"/>
      <c r="CY167" s="67"/>
      <c r="CZ167" s="67"/>
      <c r="DA167" s="67"/>
      <c r="DB167" s="67"/>
      <c r="DC167" s="67"/>
      <c r="DD167" s="67"/>
      <c r="DE167" s="67"/>
      <c r="DF167" s="67"/>
      <c r="DG167" s="67"/>
      <c r="DH167" s="67"/>
      <c r="DI167" s="67"/>
      <c r="DJ167" s="67"/>
      <c r="DK167" s="67"/>
      <c r="DL167" s="67"/>
      <c r="DM167" s="67"/>
      <c r="DN167" s="67"/>
      <c r="DO167" s="67"/>
      <c r="DP167" s="67"/>
      <c r="DQ167" s="67"/>
      <c r="DR167" s="67"/>
      <c r="DS167" s="67"/>
      <c r="DT167" s="67"/>
      <c r="DU167" s="67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  <c r="ER167" s="6"/>
      <c r="ES167" s="6"/>
      <c r="ET167" s="6"/>
      <c r="EU167" s="6"/>
      <c r="EV167" s="6"/>
      <c r="EW167" s="6"/>
      <c r="EX167" s="6"/>
      <c r="EY167" s="6"/>
      <c r="EZ167" s="6"/>
      <c r="FA167" s="6"/>
      <c r="FB167" s="6"/>
      <c r="FC167" s="6"/>
      <c r="FD167" s="6"/>
      <c r="FE167" s="6"/>
      <c r="FF167" s="6"/>
      <c r="FG167" s="6"/>
      <c r="FH167" s="6"/>
      <c r="FI167" s="6"/>
      <c r="FJ167" s="6"/>
      <c r="FK167" s="6"/>
      <c r="FL167" s="6"/>
      <c r="FM167" s="6"/>
      <c r="FN167" s="6"/>
      <c r="FO167" s="6"/>
      <c r="FP167" s="6"/>
      <c r="FQ167" s="6"/>
      <c r="FR167" s="6"/>
      <c r="FS167" s="6"/>
      <c r="FT167" s="6"/>
      <c r="FU167" s="6"/>
      <c r="FV167" s="6"/>
      <c r="FW167" s="6"/>
      <c r="FX167" s="6"/>
      <c r="FY167" s="6"/>
      <c r="FZ167" s="6"/>
      <c r="GA167" s="6"/>
      <c r="GB167" s="6"/>
      <c r="GC167" s="6"/>
      <c r="GD167" s="6"/>
      <c r="GE167" s="6"/>
      <c r="GF167" s="6"/>
      <c r="GG167" s="6"/>
      <c r="GH167" s="6"/>
      <c r="GI167" s="6"/>
      <c r="GJ167" s="6"/>
      <c r="GK167" s="6"/>
      <c r="GL167" s="6"/>
    </row>
    <row r="168" spans="1:194" x14ac:dyDescent="0.25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G168" s="67"/>
      <c r="AH168" s="67"/>
      <c r="AI168" s="67"/>
      <c r="AJ168" s="67"/>
      <c r="AK168" s="67"/>
      <c r="AL168" s="67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  <c r="BI168" s="67"/>
      <c r="BJ168" s="67"/>
      <c r="BK168" s="67"/>
      <c r="BL168" s="67"/>
      <c r="BM168" s="67"/>
      <c r="BN168" s="67"/>
      <c r="BO168" s="67"/>
      <c r="BP168" s="67"/>
      <c r="BQ168" s="67"/>
      <c r="BR168" s="67"/>
      <c r="BS168" s="67"/>
      <c r="BT168" s="67"/>
      <c r="BU168" s="67"/>
      <c r="BV168" s="67"/>
      <c r="BW168" s="67"/>
      <c r="BX168" s="67"/>
      <c r="BY168" s="67"/>
      <c r="BZ168" s="67"/>
      <c r="CA168" s="67"/>
      <c r="CB168" s="67"/>
      <c r="CC168" s="67"/>
      <c r="CD168" s="67"/>
      <c r="CE168" s="67"/>
      <c r="CF168" s="67"/>
      <c r="CG168" s="67"/>
      <c r="CH168" s="67"/>
      <c r="CI168" s="67"/>
      <c r="CJ168" s="67"/>
      <c r="CK168" s="67"/>
      <c r="CL168" s="67"/>
      <c r="CM168" s="67"/>
      <c r="CN168" s="67"/>
      <c r="CO168" s="67"/>
      <c r="CP168" s="67"/>
      <c r="CQ168" s="67"/>
      <c r="CR168" s="67"/>
      <c r="CS168" s="67"/>
      <c r="CT168" s="67"/>
      <c r="CU168" s="67"/>
      <c r="CV168" s="67"/>
      <c r="CW168" s="67"/>
      <c r="CX168" s="67"/>
      <c r="CY168" s="67"/>
      <c r="CZ168" s="67"/>
      <c r="DA168" s="67"/>
      <c r="DB168" s="67"/>
      <c r="DC168" s="67"/>
      <c r="DD168" s="67"/>
      <c r="DE168" s="67"/>
      <c r="DF168" s="67"/>
      <c r="DG168" s="67"/>
      <c r="DH168" s="67"/>
      <c r="DI168" s="67"/>
      <c r="DJ168" s="67"/>
      <c r="DK168" s="67"/>
      <c r="DL168" s="67"/>
      <c r="DM168" s="67"/>
      <c r="DN168" s="67"/>
      <c r="DO168" s="67"/>
      <c r="DP168" s="67"/>
      <c r="DQ168" s="67"/>
      <c r="DR168" s="67"/>
      <c r="DS168" s="67"/>
      <c r="DT168" s="67"/>
      <c r="DU168" s="67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  <c r="ER168" s="6"/>
      <c r="ES168" s="6"/>
      <c r="ET168" s="6"/>
      <c r="EU168" s="6"/>
      <c r="EV168" s="6"/>
      <c r="EW168" s="6"/>
      <c r="EX168" s="6"/>
      <c r="EY168" s="6"/>
      <c r="EZ168" s="6"/>
      <c r="FA168" s="6"/>
      <c r="FB168" s="6"/>
      <c r="FC168" s="6"/>
      <c r="FD168" s="6"/>
      <c r="FE168" s="6"/>
      <c r="FF168" s="6"/>
      <c r="FG168" s="6"/>
      <c r="FH168" s="6"/>
      <c r="FI168" s="6"/>
      <c r="FJ168" s="6"/>
      <c r="FK168" s="6"/>
      <c r="FL168" s="6"/>
      <c r="FM168" s="6"/>
      <c r="FN168" s="6"/>
      <c r="FO168" s="6"/>
      <c r="FP168" s="6"/>
      <c r="FQ168" s="6"/>
      <c r="FR168" s="6"/>
      <c r="FS168" s="6"/>
      <c r="FT168" s="6"/>
      <c r="FU168" s="6"/>
      <c r="FV168" s="6"/>
      <c r="FW168" s="6"/>
      <c r="FX168" s="6"/>
      <c r="FY168" s="6"/>
      <c r="FZ168" s="6"/>
      <c r="GA168" s="6"/>
      <c r="GB168" s="6"/>
      <c r="GC168" s="6"/>
      <c r="GD168" s="6"/>
      <c r="GE168" s="6"/>
      <c r="GF168" s="6"/>
      <c r="GG168" s="6"/>
      <c r="GH168" s="6"/>
      <c r="GI168" s="6"/>
      <c r="GJ168" s="6"/>
      <c r="GK168" s="6"/>
      <c r="GL168" s="6"/>
    </row>
    <row r="169" spans="1:194" x14ac:dyDescent="0.25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7"/>
      <c r="AH169" s="67"/>
      <c r="AI169" s="67"/>
      <c r="AJ169" s="67"/>
      <c r="AK169" s="67"/>
      <c r="AL169" s="67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  <c r="BB169" s="67"/>
      <c r="BC169" s="67"/>
      <c r="BD169" s="67"/>
      <c r="BE169" s="67"/>
      <c r="BF169" s="67"/>
      <c r="BG169" s="67"/>
      <c r="BH169" s="67"/>
      <c r="BI169" s="67"/>
      <c r="BJ169" s="67"/>
      <c r="BK169" s="67"/>
      <c r="BL169" s="67"/>
      <c r="BM169" s="67"/>
      <c r="BN169" s="67"/>
      <c r="BO169" s="67"/>
      <c r="BP169" s="67"/>
      <c r="BQ169" s="67"/>
      <c r="BR169" s="67"/>
      <c r="BS169" s="67"/>
      <c r="BT169" s="67"/>
      <c r="BU169" s="67"/>
      <c r="BV169" s="67"/>
      <c r="BW169" s="67"/>
      <c r="BX169" s="67"/>
      <c r="BY169" s="67"/>
      <c r="BZ169" s="67"/>
      <c r="CA169" s="67"/>
      <c r="CB169" s="67"/>
      <c r="CC169" s="67"/>
      <c r="CD169" s="67"/>
      <c r="CE169" s="67"/>
      <c r="CF169" s="67"/>
      <c r="CG169" s="67"/>
      <c r="CH169" s="67"/>
      <c r="CI169" s="67"/>
      <c r="CJ169" s="67"/>
      <c r="CK169" s="67"/>
      <c r="CL169" s="67"/>
      <c r="CM169" s="67"/>
      <c r="CN169" s="67"/>
      <c r="CO169" s="67"/>
      <c r="CP169" s="67"/>
      <c r="CQ169" s="67"/>
      <c r="CR169" s="67"/>
      <c r="CS169" s="67"/>
      <c r="CT169" s="67"/>
      <c r="CU169" s="67"/>
      <c r="CV169" s="67"/>
      <c r="CW169" s="67"/>
      <c r="CX169" s="67"/>
      <c r="CY169" s="67"/>
      <c r="CZ169" s="67"/>
      <c r="DA169" s="67"/>
      <c r="DB169" s="67"/>
      <c r="DC169" s="67"/>
      <c r="DD169" s="67"/>
      <c r="DE169" s="67"/>
      <c r="DF169" s="67"/>
      <c r="DG169" s="67"/>
      <c r="DH169" s="67"/>
      <c r="DI169" s="67"/>
      <c r="DJ169" s="67"/>
      <c r="DK169" s="67"/>
      <c r="DL169" s="67"/>
      <c r="DM169" s="67"/>
      <c r="DN169" s="67"/>
      <c r="DO169" s="67"/>
      <c r="DP169" s="67"/>
      <c r="DQ169" s="67"/>
      <c r="DR169" s="67"/>
      <c r="DS169" s="67"/>
      <c r="DT169" s="67"/>
      <c r="DU169" s="67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  <c r="ER169" s="6"/>
      <c r="ES169" s="6"/>
      <c r="ET169" s="6"/>
      <c r="EU169" s="6"/>
      <c r="EV169" s="6"/>
      <c r="EW169" s="6"/>
      <c r="EX169" s="6"/>
      <c r="EY169" s="6"/>
      <c r="EZ169" s="6"/>
      <c r="FA169" s="6"/>
      <c r="FB169" s="6"/>
      <c r="FC169" s="6"/>
      <c r="FD169" s="6"/>
      <c r="FE169" s="6"/>
      <c r="FF169" s="6"/>
      <c r="FG169" s="6"/>
      <c r="FH169" s="6"/>
      <c r="FI169" s="6"/>
      <c r="FJ169" s="6"/>
      <c r="FK169" s="6"/>
      <c r="FL169" s="6"/>
      <c r="FM169" s="6"/>
      <c r="FN169" s="6"/>
      <c r="FO169" s="6"/>
      <c r="FP169" s="6"/>
      <c r="FQ169" s="6"/>
      <c r="FR169" s="6"/>
      <c r="FS169" s="6"/>
      <c r="FT169" s="6"/>
      <c r="FU169" s="6"/>
      <c r="FV169" s="6"/>
      <c r="FW169" s="6"/>
      <c r="FX169" s="6"/>
      <c r="FY169" s="6"/>
      <c r="FZ169" s="6"/>
      <c r="GA169" s="6"/>
      <c r="GB169" s="6"/>
      <c r="GC169" s="6"/>
      <c r="GD169" s="6"/>
      <c r="GE169" s="6"/>
      <c r="GF169" s="6"/>
      <c r="GG169" s="6"/>
      <c r="GH169" s="6"/>
      <c r="GI169" s="6"/>
      <c r="GJ169" s="6"/>
      <c r="GK169" s="6"/>
      <c r="GL169" s="6"/>
    </row>
    <row r="170" spans="1:194" x14ac:dyDescent="0.25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AG170" s="67"/>
      <c r="AH170" s="67"/>
      <c r="AI170" s="67"/>
      <c r="AJ170" s="67"/>
      <c r="AK170" s="67"/>
      <c r="AL170" s="67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  <c r="BI170" s="67"/>
      <c r="BJ170" s="67"/>
      <c r="BK170" s="67"/>
      <c r="BL170" s="67"/>
      <c r="BM170" s="67"/>
      <c r="BN170" s="67"/>
      <c r="BO170" s="67"/>
      <c r="BP170" s="67"/>
      <c r="BQ170" s="67"/>
      <c r="BR170" s="67"/>
      <c r="BS170" s="67"/>
      <c r="BT170" s="67"/>
      <c r="BU170" s="67"/>
      <c r="BV170" s="67"/>
      <c r="BW170" s="67"/>
      <c r="BX170" s="67"/>
      <c r="BY170" s="67"/>
      <c r="BZ170" s="67"/>
      <c r="CA170" s="67"/>
      <c r="CB170" s="67"/>
      <c r="CC170" s="67"/>
      <c r="CD170" s="67"/>
      <c r="CE170" s="67"/>
      <c r="CF170" s="67"/>
      <c r="CG170" s="67"/>
      <c r="CH170" s="67"/>
      <c r="CI170" s="67"/>
      <c r="CJ170" s="67"/>
      <c r="CK170" s="67"/>
      <c r="CL170" s="67"/>
      <c r="CM170" s="67"/>
      <c r="CN170" s="67"/>
      <c r="CO170" s="67"/>
      <c r="CP170" s="67"/>
      <c r="CQ170" s="67"/>
      <c r="CR170" s="67"/>
      <c r="CS170" s="67"/>
      <c r="CT170" s="67"/>
      <c r="CU170" s="67"/>
      <c r="CV170" s="67"/>
      <c r="CW170" s="67"/>
      <c r="CX170" s="67"/>
      <c r="CY170" s="67"/>
      <c r="CZ170" s="67"/>
      <c r="DA170" s="67"/>
      <c r="DB170" s="67"/>
      <c r="DC170" s="67"/>
      <c r="DD170" s="67"/>
      <c r="DE170" s="67"/>
      <c r="DF170" s="67"/>
      <c r="DG170" s="67"/>
      <c r="DH170" s="67"/>
      <c r="DI170" s="67"/>
      <c r="DJ170" s="67"/>
      <c r="DK170" s="67"/>
      <c r="DL170" s="67"/>
      <c r="DM170" s="67"/>
      <c r="DN170" s="67"/>
      <c r="DO170" s="67"/>
      <c r="DP170" s="67"/>
      <c r="DQ170" s="67"/>
      <c r="DR170" s="67"/>
      <c r="DS170" s="67"/>
      <c r="DT170" s="67"/>
      <c r="DU170" s="67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  <c r="ER170" s="6"/>
      <c r="ES170" s="6"/>
      <c r="ET170" s="6"/>
      <c r="EU170" s="6"/>
      <c r="EV170" s="6"/>
      <c r="EW170" s="6"/>
      <c r="EX170" s="6"/>
      <c r="EY170" s="6"/>
      <c r="EZ170" s="6"/>
      <c r="FA170" s="6"/>
      <c r="FB170" s="6"/>
      <c r="FC170" s="6"/>
      <c r="FD170" s="6"/>
      <c r="FE170" s="6"/>
      <c r="FF170" s="6"/>
      <c r="FG170" s="6"/>
      <c r="FH170" s="6"/>
      <c r="FI170" s="6"/>
      <c r="FJ170" s="6"/>
      <c r="FK170" s="6"/>
      <c r="FL170" s="6"/>
      <c r="FM170" s="6"/>
      <c r="FN170" s="6"/>
      <c r="FO170" s="6"/>
      <c r="FP170" s="6"/>
      <c r="FQ170" s="6"/>
      <c r="FR170" s="6"/>
      <c r="FS170" s="6"/>
      <c r="FT170" s="6"/>
      <c r="FU170" s="6"/>
      <c r="FV170" s="6"/>
      <c r="FW170" s="6"/>
      <c r="FX170" s="6"/>
      <c r="FY170" s="6"/>
      <c r="FZ170" s="6"/>
      <c r="GA170" s="6"/>
      <c r="GB170" s="6"/>
      <c r="GC170" s="6"/>
      <c r="GD170" s="6"/>
      <c r="GE170" s="6"/>
      <c r="GF170" s="6"/>
      <c r="GG170" s="6"/>
      <c r="GH170" s="6"/>
      <c r="GI170" s="6"/>
      <c r="GJ170" s="6"/>
      <c r="GK170" s="6"/>
      <c r="GL170" s="6"/>
    </row>
    <row r="171" spans="1:194" x14ac:dyDescent="0.25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AG171" s="67"/>
      <c r="AH171" s="67"/>
      <c r="AI171" s="67"/>
      <c r="AJ171" s="67"/>
      <c r="AK171" s="67"/>
      <c r="AL171" s="67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  <c r="BB171" s="67"/>
      <c r="BC171" s="67"/>
      <c r="BD171" s="67"/>
      <c r="BE171" s="67"/>
      <c r="BF171" s="67"/>
      <c r="BG171" s="67"/>
      <c r="BH171" s="67"/>
      <c r="BI171" s="67"/>
      <c r="BJ171" s="67"/>
      <c r="BK171" s="67"/>
      <c r="BL171" s="67"/>
      <c r="BM171" s="67"/>
      <c r="BN171" s="67"/>
      <c r="BO171" s="67"/>
      <c r="BP171" s="67"/>
      <c r="BQ171" s="67"/>
      <c r="BR171" s="67"/>
      <c r="BS171" s="67"/>
      <c r="BT171" s="67"/>
      <c r="BU171" s="67"/>
      <c r="BV171" s="67"/>
      <c r="BW171" s="67"/>
      <c r="BX171" s="67"/>
      <c r="BY171" s="67"/>
      <c r="BZ171" s="67"/>
      <c r="CA171" s="67"/>
      <c r="CB171" s="67"/>
      <c r="CC171" s="67"/>
      <c r="CD171" s="67"/>
      <c r="CE171" s="67"/>
      <c r="CF171" s="67"/>
      <c r="CG171" s="67"/>
      <c r="CH171" s="67"/>
      <c r="CI171" s="67"/>
      <c r="CJ171" s="67"/>
      <c r="CK171" s="67"/>
      <c r="CL171" s="67"/>
      <c r="CM171" s="67"/>
      <c r="CN171" s="67"/>
      <c r="CO171" s="67"/>
      <c r="CP171" s="67"/>
      <c r="CQ171" s="67"/>
      <c r="CR171" s="67"/>
      <c r="CS171" s="67"/>
      <c r="CT171" s="67"/>
      <c r="CU171" s="67"/>
      <c r="CV171" s="67"/>
      <c r="CW171" s="67"/>
      <c r="CX171" s="67"/>
      <c r="CY171" s="67"/>
      <c r="CZ171" s="67"/>
      <c r="DA171" s="67"/>
      <c r="DB171" s="67"/>
      <c r="DC171" s="67"/>
      <c r="DD171" s="67"/>
      <c r="DE171" s="67"/>
      <c r="DF171" s="67"/>
      <c r="DG171" s="67"/>
      <c r="DH171" s="67"/>
      <c r="DI171" s="67"/>
      <c r="DJ171" s="67"/>
      <c r="DK171" s="67"/>
      <c r="DL171" s="67"/>
      <c r="DM171" s="67"/>
      <c r="DN171" s="67"/>
      <c r="DO171" s="67"/>
      <c r="DP171" s="67"/>
      <c r="DQ171" s="67"/>
      <c r="DR171" s="67"/>
      <c r="DS171" s="67"/>
      <c r="DT171" s="67"/>
      <c r="DU171" s="67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  <c r="ER171" s="6"/>
      <c r="ES171" s="6"/>
      <c r="ET171" s="6"/>
      <c r="EU171" s="6"/>
      <c r="EV171" s="6"/>
      <c r="EW171" s="6"/>
      <c r="EX171" s="6"/>
      <c r="EY171" s="6"/>
      <c r="EZ171" s="6"/>
      <c r="FA171" s="6"/>
      <c r="FB171" s="6"/>
      <c r="FC171" s="6"/>
      <c r="FD171" s="6"/>
      <c r="FE171" s="6"/>
      <c r="FF171" s="6"/>
      <c r="FG171" s="6"/>
      <c r="FH171" s="6"/>
      <c r="FI171" s="6"/>
      <c r="FJ171" s="6"/>
      <c r="FK171" s="6"/>
      <c r="FL171" s="6"/>
      <c r="FM171" s="6"/>
      <c r="FN171" s="6"/>
      <c r="FO171" s="6"/>
      <c r="FP171" s="6"/>
      <c r="FQ171" s="6"/>
      <c r="FR171" s="6"/>
      <c r="FS171" s="6"/>
      <c r="FT171" s="6"/>
      <c r="FU171" s="6"/>
      <c r="FV171" s="6"/>
      <c r="FW171" s="6"/>
      <c r="FX171" s="6"/>
      <c r="FY171" s="6"/>
      <c r="FZ171" s="6"/>
      <c r="GA171" s="6"/>
      <c r="GB171" s="6"/>
      <c r="GC171" s="6"/>
      <c r="GD171" s="6"/>
      <c r="GE171" s="6"/>
      <c r="GF171" s="6"/>
      <c r="GG171" s="6"/>
      <c r="GH171" s="6"/>
      <c r="GI171" s="6"/>
      <c r="GJ171" s="6"/>
      <c r="GK171" s="6"/>
      <c r="GL171" s="6"/>
    </row>
    <row r="172" spans="1:194" x14ac:dyDescent="0.25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  <c r="AF172" s="67"/>
      <c r="AG172" s="67"/>
      <c r="AH172" s="67"/>
      <c r="AI172" s="67"/>
      <c r="AJ172" s="67"/>
      <c r="AK172" s="67"/>
      <c r="AL172" s="67"/>
      <c r="AM172" s="67"/>
      <c r="AN172" s="67"/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  <c r="BB172" s="67"/>
      <c r="BC172" s="67"/>
      <c r="BD172" s="67"/>
      <c r="BE172" s="67"/>
      <c r="BF172" s="67"/>
      <c r="BG172" s="67"/>
      <c r="BH172" s="67"/>
      <c r="BI172" s="67"/>
      <c r="BJ172" s="67"/>
      <c r="BK172" s="67"/>
      <c r="BL172" s="67"/>
      <c r="BM172" s="67"/>
      <c r="BN172" s="67"/>
      <c r="BO172" s="67"/>
      <c r="BP172" s="67"/>
      <c r="BQ172" s="67"/>
      <c r="BR172" s="67"/>
      <c r="BS172" s="67"/>
      <c r="BT172" s="67"/>
      <c r="BU172" s="67"/>
      <c r="BV172" s="67"/>
      <c r="BW172" s="67"/>
      <c r="BX172" s="67"/>
      <c r="BY172" s="67"/>
      <c r="BZ172" s="67"/>
      <c r="CA172" s="67"/>
      <c r="CB172" s="67"/>
      <c r="CC172" s="67"/>
      <c r="CD172" s="67"/>
      <c r="CE172" s="67"/>
      <c r="CF172" s="67"/>
      <c r="CG172" s="67"/>
      <c r="CH172" s="67"/>
      <c r="CI172" s="67"/>
      <c r="CJ172" s="67"/>
      <c r="CK172" s="67"/>
      <c r="CL172" s="67"/>
      <c r="CM172" s="67"/>
      <c r="CN172" s="67"/>
      <c r="CO172" s="67"/>
      <c r="CP172" s="67"/>
      <c r="CQ172" s="67"/>
      <c r="CR172" s="67"/>
      <c r="CS172" s="67"/>
      <c r="CT172" s="67"/>
      <c r="CU172" s="67"/>
      <c r="CV172" s="67"/>
      <c r="CW172" s="67"/>
      <c r="CX172" s="67"/>
      <c r="CY172" s="67"/>
      <c r="CZ172" s="67"/>
      <c r="DA172" s="67"/>
      <c r="DB172" s="67"/>
      <c r="DC172" s="67"/>
      <c r="DD172" s="67"/>
      <c r="DE172" s="67"/>
      <c r="DF172" s="67"/>
      <c r="DG172" s="67"/>
      <c r="DH172" s="67"/>
      <c r="DI172" s="67"/>
      <c r="DJ172" s="67"/>
      <c r="DK172" s="67"/>
      <c r="DL172" s="67"/>
      <c r="DM172" s="67"/>
      <c r="DN172" s="67"/>
      <c r="DO172" s="67"/>
      <c r="DP172" s="67"/>
      <c r="DQ172" s="67"/>
      <c r="DR172" s="67"/>
      <c r="DS172" s="67"/>
      <c r="DT172" s="67"/>
      <c r="DU172" s="67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  <c r="ER172" s="6"/>
      <c r="ES172" s="6"/>
      <c r="ET172" s="6"/>
      <c r="EU172" s="6"/>
      <c r="EV172" s="6"/>
      <c r="EW172" s="6"/>
      <c r="EX172" s="6"/>
      <c r="EY172" s="6"/>
      <c r="EZ172" s="6"/>
      <c r="FA172" s="6"/>
      <c r="FB172" s="6"/>
      <c r="FC172" s="6"/>
      <c r="FD172" s="6"/>
      <c r="FE172" s="6"/>
      <c r="FF172" s="6"/>
      <c r="FG172" s="6"/>
      <c r="FH172" s="6"/>
      <c r="FI172" s="6"/>
      <c r="FJ172" s="6"/>
      <c r="FK172" s="6"/>
      <c r="FL172" s="6"/>
      <c r="FM172" s="6"/>
      <c r="FN172" s="6"/>
      <c r="FO172" s="6"/>
      <c r="FP172" s="6"/>
      <c r="FQ172" s="6"/>
      <c r="FR172" s="6"/>
      <c r="FS172" s="6"/>
      <c r="FT172" s="6"/>
      <c r="FU172" s="6"/>
      <c r="FV172" s="6"/>
      <c r="FW172" s="6"/>
      <c r="FX172" s="6"/>
      <c r="FY172" s="6"/>
      <c r="FZ172" s="6"/>
      <c r="GA172" s="6"/>
      <c r="GB172" s="6"/>
      <c r="GC172" s="6"/>
      <c r="GD172" s="6"/>
      <c r="GE172" s="6"/>
      <c r="GF172" s="6"/>
      <c r="GG172" s="6"/>
      <c r="GH172" s="6"/>
      <c r="GI172" s="6"/>
      <c r="GJ172" s="6"/>
      <c r="GK172" s="6"/>
      <c r="GL172" s="6"/>
    </row>
    <row r="173" spans="1:194" x14ac:dyDescent="0.25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  <c r="AF173" s="67"/>
      <c r="AG173" s="67"/>
      <c r="AH173" s="67"/>
      <c r="AI173" s="67"/>
      <c r="AJ173" s="67"/>
      <c r="AK173" s="67"/>
      <c r="AL173" s="67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  <c r="AX173" s="67"/>
      <c r="AY173" s="67"/>
      <c r="AZ173" s="67"/>
      <c r="BA173" s="67"/>
      <c r="BB173" s="67"/>
      <c r="BC173" s="67"/>
      <c r="BD173" s="67"/>
      <c r="BE173" s="67"/>
      <c r="BF173" s="67"/>
      <c r="BG173" s="67"/>
      <c r="BH173" s="67"/>
      <c r="BI173" s="67"/>
      <c r="BJ173" s="67"/>
      <c r="BK173" s="67"/>
      <c r="BL173" s="67"/>
      <c r="BM173" s="67"/>
      <c r="BN173" s="67"/>
      <c r="BO173" s="67"/>
      <c r="BP173" s="67"/>
      <c r="BQ173" s="67"/>
      <c r="BR173" s="67"/>
      <c r="BS173" s="67"/>
      <c r="BT173" s="67"/>
      <c r="BU173" s="67"/>
      <c r="BV173" s="67"/>
      <c r="BW173" s="67"/>
      <c r="BX173" s="67"/>
      <c r="BY173" s="67"/>
      <c r="BZ173" s="67"/>
      <c r="CA173" s="67"/>
      <c r="CB173" s="67"/>
      <c r="CC173" s="67"/>
      <c r="CD173" s="67"/>
      <c r="CE173" s="67"/>
      <c r="CF173" s="67"/>
      <c r="CG173" s="67"/>
      <c r="CH173" s="67"/>
      <c r="CI173" s="67"/>
      <c r="CJ173" s="67"/>
      <c r="CK173" s="67"/>
      <c r="CL173" s="67"/>
      <c r="CM173" s="67"/>
      <c r="CN173" s="67"/>
      <c r="CO173" s="67"/>
      <c r="CP173" s="67"/>
      <c r="CQ173" s="67"/>
      <c r="CR173" s="67"/>
      <c r="CS173" s="67"/>
      <c r="CT173" s="67"/>
      <c r="CU173" s="67"/>
      <c r="CV173" s="67"/>
      <c r="CW173" s="67"/>
      <c r="CX173" s="67"/>
      <c r="CY173" s="67"/>
      <c r="CZ173" s="67"/>
      <c r="DA173" s="67"/>
      <c r="DB173" s="67"/>
      <c r="DC173" s="67"/>
      <c r="DD173" s="67"/>
      <c r="DE173" s="67"/>
      <c r="DF173" s="67"/>
      <c r="DG173" s="67"/>
      <c r="DH173" s="67"/>
      <c r="DI173" s="67"/>
      <c r="DJ173" s="67"/>
      <c r="DK173" s="67"/>
      <c r="DL173" s="67"/>
      <c r="DM173" s="67"/>
      <c r="DN173" s="67"/>
      <c r="DO173" s="67"/>
      <c r="DP173" s="67"/>
      <c r="DQ173" s="67"/>
      <c r="DR173" s="67"/>
      <c r="DS173" s="67"/>
      <c r="DT173" s="67"/>
      <c r="DU173" s="67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  <c r="EP173" s="6"/>
      <c r="EQ173" s="6"/>
      <c r="ER173" s="6"/>
      <c r="ES173" s="6"/>
      <c r="ET173" s="6"/>
      <c r="EU173" s="6"/>
      <c r="EV173" s="6"/>
      <c r="EW173" s="6"/>
      <c r="EX173" s="6"/>
      <c r="EY173" s="6"/>
      <c r="EZ173" s="6"/>
      <c r="FA173" s="6"/>
      <c r="FB173" s="6"/>
      <c r="FC173" s="6"/>
      <c r="FD173" s="6"/>
      <c r="FE173" s="6"/>
      <c r="FF173" s="6"/>
      <c r="FG173" s="6"/>
      <c r="FH173" s="6"/>
      <c r="FI173" s="6"/>
      <c r="FJ173" s="6"/>
      <c r="FK173" s="6"/>
      <c r="FL173" s="6"/>
      <c r="FM173" s="6"/>
      <c r="FN173" s="6"/>
      <c r="FO173" s="6"/>
      <c r="FP173" s="6"/>
      <c r="FQ173" s="6"/>
      <c r="FR173" s="6"/>
      <c r="FS173" s="6"/>
      <c r="FT173" s="6"/>
      <c r="FU173" s="6"/>
      <c r="FV173" s="6"/>
      <c r="FW173" s="6"/>
      <c r="FX173" s="6"/>
      <c r="FY173" s="6"/>
      <c r="FZ173" s="6"/>
      <c r="GA173" s="6"/>
      <c r="GB173" s="6"/>
      <c r="GC173" s="6"/>
      <c r="GD173" s="6"/>
      <c r="GE173" s="6"/>
      <c r="GF173" s="6"/>
      <c r="GG173" s="6"/>
      <c r="GH173" s="6"/>
      <c r="GI173" s="6"/>
      <c r="GJ173" s="6"/>
      <c r="GK173" s="6"/>
      <c r="GL173" s="6"/>
    </row>
    <row r="174" spans="1:194" x14ac:dyDescent="0.25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  <c r="AF174" s="67"/>
      <c r="AG174" s="67"/>
      <c r="AH174" s="67"/>
      <c r="AI174" s="67"/>
      <c r="AJ174" s="67"/>
      <c r="AK174" s="67"/>
      <c r="AL174" s="67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  <c r="AX174" s="67"/>
      <c r="AY174" s="67"/>
      <c r="AZ174" s="67"/>
      <c r="BA174" s="67"/>
      <c r="BB174" s="67"/>
      <c r="BC174" s="67"/>
      <c r="BD174" s="67"/>
      <c r="BE174" s="67"/>
      <c r="BF174" s="67"/>
      <c r="BG174" s="67"/>
      <c r="BH174" s="67"/>
      <c r="BI174" s="67"/>
      <c r="BJ174" s="67"/>
      <c r="BK174" s="67"/>
      <c r="BL174" s="67"/>
      <c r="BM174" s="67"/>
      <c r="BN174" s="67"/>
      <c r="BO174" s="67"/>
      <c r="BP174" s="67"/>
      <c r="BQ174" s="67"/>
      <c r="BR174" s="67"/>
      <c r="BS174" s="67"/>
      <c r="BT174" s="67"/>
      <c r="BU174" s="67"/>
      <c r="BV174" s="67"/>
      <c r="BW174" s="67"/>
      <c r="BX174" s="67"/>
      <c r="BY174" s="67"/>
      <c r="BZ174" s="67"/>
      <c r="CA174" s="67"/>
      <c r="CB174" s="67"/>
      <c r="CC174" s="67"/>
      <c r="CD174" s="67"/>
      <c r="CE174" s="67"/>
      <c r="CF174" s="67"/>
      <c r="CG174" s="67"/>
      <c r="CH174" s="67"/>
      <c r="CI174" s="67"/>
      <c r="CJ174" s="67"/>
      <c r="CK174" s="67"/>
      <c r="CL174" s="67"/>
      <c r="CM174" s="67"/>
      <c r="CN174" s="67"/>
      <c r="CO174" s="67"/>
      <c r="CP174" s="67"/>
      <c r="CQ174" s="67"/>
      <c r="CR174" s="67"/>
      <c r="CS174" s="67"/>
      <c r="CT174" s="67"/>
      <c r="CU174" s="67"/>
      <c r="CV174" s="67"/>
      <c r="CW174" s="67"/>
      <c r="CX174" s="67"/>
      <c r="CY174" s="67"/>
      <c r="CZ174" s="67"/>
      <c r="DA174" s="67"/>
      <c r="DB174" s="67"/>
      <c r="DC174" s="67"/>
      <c r="DD174" s="67"/>
      <c r="DE174" s="67"/>
      <c r="DF174" s="67"/>
      <c r="DG174" s="67"/>
      <c r="DH174" s="67"/>
      <c r="DI174" s="67"/>
      <c r="DJ174" s="67"/>
      <c r="DK174" s="67"/>
      <c r="DL174" s="67"/>
      <c r="DM174" s="67"/>
      <c r="DN174" s="67"/>
      <c r="DO174" s="67"/>
      <c r="DP174" s="67"/>
      <c r="DQ174" s="67"/>
      <c r="DR174" s="67"/>
      <c r="DS174" s="67"/>
      <c r="DT174" s="67"/>
      <c r="DU174" s="67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  <c r="ER174" s="6"/>
      <c r="ES174" s="6"/>
      <c r="ET174" s="6"/>
      <c r="EU174" s="6"/>
      <c r="EV174" s="6"/>
      <c r="EW174" s="6"/>
      <c r="EX174" s="6"/>
      <c r="EY174" s="6"/>
      <c r="EZ174" s="6"/>
      <c r="FA174" s="6"/>
      <c r="FB174" s="6"/>
      <c r="FC174" s="6"/>
      <c r="FD174" s="6"/>
      <c r="FE174" s="6"/>
      <c r="FF174" s="6"/>
      <c r="FG174" s="6"/>
      <c r="FH174" s="6"/>
      <c r="FI174" s="6"/>
      <c r="FJ174" s="6"/>
      <c r="FK174" s="6"/>
      <c r="FL174" s="6"/>
      <c r="FM174" s="6"/>
      <c r="FN174" s="6"/>
      <c r="FO174" s="6"/>
      <c r="FP174" s="6"/>
      <c r="FQ174" s="6"/>
      <c r="FR174" s="6"/>
      <c r="FS174" s="6"/>
      <c r="FT174" s="6"/>
      <c r="FU174" s="6"/>
      <c r="FV174" s="6"/>
      <c r="FW174" s="6"/>
      <c r="FX174" s="6"/>
      <c r="FY174" s="6"/>
      <c r="FZ174" s="6"/>
      <c r="GA174" s="6"/>
      <c r="GB174" s="6"/>
      <c r="GC174" s="6"/>
      <c r="GD174" s="6"/>
      <c r="GE174" s="6"/>
      <c r="GF174" s="6"/>
      <c r="GG174" s="6"/>
      <c r="GH174" s="6"/>
      <c r="GI174" s="6"/>
      <c r="GJ174" s="6"/>
      <c r="GK174" s="6"/>
      <c r="GL174" s="6"/>
    </row>
    <row r="175" spans="1:194" x14ac:dyDescent="0.25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  <c r="AF175" s="67"/>
      <c r="AG175" s="67"/>
      <c r="AH175" s="67"/>
      <c r="AI175" s="67"/>
      <c r="AJ175" s="67"/>
      <c r="AK175" s="67"/>
      <c r="AL175" s="67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  <c r="BI175" s="67"/>
      <c r="BJ175" s="67"/>
      <c r="BK175" s="67"/>
      <c r="BL175" s="67"/>
      <c r="BM175" s="67"/>
      <c r="BN175" s="67"/>
      <c r="BO175" s="67"/>
      <c r="BP175" s="67"/>
      <c r="BQ175" s="67"/>
      <c r="BR175" s="67"/>
      <c r="BS175" s="67"/>
      <c r="BT175" s="67"/>
      <c r="BU175" s="67"/>
      <c r="BV175" s="67"/>
      <c r="BW175" s="67"/>
      <c r="BX175" s="67"/>
      <c r="BY175" s="67"/>
      <c r="BZ175" s="67"/>
      <c r="CA175" s="67"/>
      <c r="CB175" s="67"/>
      <c r="CC175" s="67"/>
      <c r="CD175" s="67"/>
      <c r="CE175" s="67"/>
      <c r="CF175" s="67"/>
      <c r="CG175" s="67"/>
      <c r="CH175" s="67"/>
      <c r="CI175" s="67"/>
      <c r="CJ175" s="67"/>
      <c r="CK175" s="67"/>
      <c r="CL175" s="67"/>
      <c r="CM175" s="67"/>
      <c r="CN175" s="67"/>
      <c r="CO175" s="67"/>
      <c r="CP175" s="67"/>
      <c r="CQ175" s="67"/>
      <c r="CR175" s="67"/>
      <c r="CS175" s="67"/>
      <c r="CT175" s="67"/>
      <c r="CU175" s="67"/>
      <c r="CV175" s="67"/>
      <c r="CW175" s="67"/>
      <c r="CX175" s="67"/>
      <c r="CY175" s="67"/>
      <c r="CZ175" s="67"/>
      <c r="DA175" s="67"/>
      <c r="DB175" s="67"/>
      <c r="DC175" s="67"/>
      <c r="DD175" s="67"/>
      <c r="DE175" s="67"/>
      <c r="DF175" s="67"/>
      <c r="DG175" s="67"/>
      <c r="DH175" s="67"/>
      <c r="DI175" s="67"/>
      <c r="DJ175" s="67"/>
      <c r="DK175" s="67"/>
      <c r="DL175" s="67"/>
      <c r="DM175" s="67"/>
      <c r="DN175" s="67"/>
      <c r="DO175" s="67"/>
      <c r="DP175" s="67"/>
      <c r="DQ175" s="67"/>
      <c r="DR175" s="67"/>
      <c r="DS175" s="67"/>
      <c r="DT175" s="67"/>
      <c r="DU175" s="67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  <c r="ER175" s="6"/>
      <c r="ES175" s="6"/>
      <c r="ET175" s="6"/>
      <c r="EU175" s="6"/>
      <c r="EV175" s="6"/>
      <c r="EW175" s="6"/>
      <c r="EX175" s="6"/>
      <c r="EY175" s="6"/>
      <c r="EZ175" s="6"/>
      <c r="FA175" s="6"/>
      <c r="FB175" s="6"/>
      <c r="FC175" s="6"/>
      <c r="FD175" s="6"/>
      <c r="FE175" s="6"/>
      <c r="FF175" s="6"/>
      <c r="FG175" s="6"/>
      <c r="FH175" s="6"/>
      <c r="FI175" s="6"/>
      <c r="FJ175" s="6"/>
      <c r="FK175" s="6"/>
      <c r="FL175" s="6"/>
      <c r="FM175" s="6"/>
      <c r="FN175" s="6"/>
      <c r="FO175" s="6"/>
      <c r="FP175" s="6"/>
      <c r="FQ175" s="6"/>
      <c r="FR175" s="6"/>
      <c r="FS175" s="6"/>
      <c r="FT175" s="6"/>
      <c r="FU175" s="6"/>
      <c r="FV175" s="6"/>
      <c r="FW175" s="6"/>
      <c r="FX175" s="6"/>
      <c r="FY175" s="6"/>
      <c r="FZ175" s="6"/>
      <c r="GA175" s="6"/>
      <c r="GB175" s="6"/>
      <c r="GC175" s="6"/>
      <c r="GD175" s="6"/>
      <c r="GE175" s="6"/>
      <c r="GF175" s="6"/>
      <c r="GG175" s="6"/>
      <c r="GH175" s="6"/>
      <c r="GI175" s="6"/>
      <c r="GJ175" s="6"/>
      <c r="GK175" s="6"/>
      <c r="GL175" s="6"/>
    </row>
    <row r="176" spans="1:194" x14ac:dyDescent="0.25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  <c r="AF176" s="67"/>
      <c r="AG176" s="67"/>
      <c r="AH176" s="67"/>
      <c r="AI176" s="67"/>
      <c r="AJ176" s="67"/>
      <c r="AK176" s="67"/>
      <c r="AL176" s="67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  <c r="BB176" s="67"/>
      <c r="BC176" s="67"/>
      <c r="BD176" s="67"/>
      <c r="BE176" s="67"/>
      <c r="BF176" s="67"/>
      <c r="BG176" s="67"/>
      <c r="BH176" s="67"/>
      <c r="BI176" s="67"/>
      <c r="BJ176" s="67"/>
      <c r="BK176" s="67"/>
      <c r="BL176" s="67"/>
      <c r="BM176" s="67"/>
      <c r="BN176" s="67"/>
      <c r="BO176" s="67"/>
      <c r="BP176" s="67"/>
      <c r="BQ176" s="67"/>
      <c r="BR176" s="67"/>
      <c r="BS176" s="67"/>
      <c r="BT176" s="67"/>
      <c r="BU176" s="67"/>
      <c r="BV176" s="67"/>
      <c r="BW176" s="67"/>
      <c r="BX176" s="67"/>
      <c r="BY176" s="67"/>
      <c r="BZ176" s="67"/>
      <c r="CA176" s="67"/>
      <c r="CB176" s="67"/>
      <c r="CC176" s="67"/>
      <c r="CD176" s="67"/>
      <c r="CE176" s="67"/>
      <c r="CF176" s="67"/>
      <c r="CG176" s="67"/>
      <c r="CH176" s="67"/>
      <c r="CI176" s="67"/>
      <c r="CJ176" s="67"/>
      <c r="CK176" s="67"/>
      <c r="CL176" s="67"/>
      <c r="CM176" s="67"/>
      <c r="CN176" s="67"/>
      <c r="CO176" s="67"/>
      <c r="CP176" s="67"/>
      <c r="CQ176" s="67"/>
      <c r="CR176" s="67"/>
      <c r="CS176" s="67"/>
      <c r="CT176" s="67"/>
      <c r="CU176" s="67"/>
      <c r="CV176" s="67"/>
      <c r="CW176" s="67"/>
      <c r="CX176" s="67"/>
      <c r="CY176" s="67"/>
      <c r="CZ176" s="67"/>
      <c r="DA176" s="67"/>
      <c r="DB176" s="67"/>
      <c r="DC176" s="67"/>
      <c r="DD176" s="67"/>
      <c r="DE176" s="67"/>
      <c r="DF176" s="67"/>
      <c r="DG176" s="67"/>
      <c r="DH176" s="67"/>
      <c r="DI176" s="67"/>
      <c r="DJ176" s="67"/>
      <c r="DK176" s="67"/>
      <c r="DL176" s="67"/>
      <c r="DM176" s="67"/>
      <c r="DN176" s="67"/>
      <c r="DO176" s="67"/>
      <c r="DP176" s="67"/>
      <c r="DQ176" s="67"/>
      <c r="DR176" s="67"/>
      <c r="DS176" s="67"/>
      <c r="DT176" s="67"/>
      <c r="DU176" s="67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  <c r="ER176" s="6"/>
      <c r="ES176" s="6"/>
      <c r="ET176" s="6"/>
      <c r="EU176" s="6"/>
      <c r="EV176" s="6"/>
      <c r="EW176" s="6"/>
      <c r="EX176" s="6"/>
      <c r="EY176" s="6"/>
      <c r="EZ176" s="6"/>
      <c r="FA176" s="6"/>
      <c r="FB176" s="6"/>
      <c r="FC176" s="6"/>
      <c r="FD176" s="6"/>
      <c r="FE176" s="6"/>
      <c r="FF176" s="6"/>
      <c r="FG176" s="6"/>
      <c r="FH176" s="6"/>
      <c r="FI176" s="6"/>
      <c r="FJ176" s="6"/>
      <c r="FK176" s="6"/>
      <c r="FL176" s="6"/>
      <c r="FM176" s="6"/>
      <c r="FN176" s="6"/>
      <c r="FO176" s="6"/>
      <c r="FP176" s="6"/>
      <c r="FQ176" s="6"/>
      <c r="FR176" s="6"/>
      <c r="FS176" s="6"/>
      <c r="FT176" s="6"/>
      <c r="FU176" s="6"/>
      <c r="FV176" s="6"/>
      <c r="FW176" s="6"/>
      <c r="FX176" s="6"/>
      <c r="FY176" s="6"/>
      <c r="FZ176" s="6"/>
      <c r="GA176" s="6"/>
      <c r="GB176" s="6"/>
      <c r="GC176" s="6"/>
      <c r="GD176" s="6"/>
      <c r="GE176" s="6"/>
      <c r="GF176" s="6"/>
      <c r="GG176" s="6"/>
      <c r="GH176" s="6"/>
      <c r="GI176" s="6"/>
      <c r="GJ176" s="6"/>
      <c r="GK176" s="6"/>
      <c r="GL176" s="6"/>
    </row>
    <row r="177" spans="1:194" x14ac:dyDescent="0.25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7"/>
      <c r="AH177" s="67"/>
      <c r="AI177" s="67"/>
      <c r="AJ177" s="67"/>
      <c r="AK177" s="67"/>
      <c r="AL177" s="67"/>
      <c r="AM177" s="67"/>
      <c r="AN177" s="67"/>
      <c r="AO177" s="67"/>
      <c r="AP177" s="67"/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  <c r="BB177" s="67"/>
      <c r="BC177" s="67"/>
      <c r="BD177" s="67"/>
      <c r="BE177" s="67"/>
      <c r="BF177" s="67"/>
      <c r="BG177" s="67"/>
      <c r="BH177" s="67"/>
      <c r="BI177" s="67"/>
      <c r="BJ177" s="67"/>
      <c r="BK177" s="67"/>
      <c r="BL177" s="67"/>
      <c r="BM177" s="67"/>
      <c r="BN177" s="67"/>
      <c r="BO177" s="67"/>
      <c r="BP177" s="67"/>
      <c r="BQ177" s="67"/>
      <c r="BR177" s="67"/>
      <c r="BS177" s="67"/>
      <c r="BT177" s="67"/>
      <c r="BU177" s="67"/>
      <c r="BV177" s="67"/>
      <c r="BW177" s="67"/>
      <c r="BX177" s="67"/>
      <c r="BY177" s="67"/>
      <c r="BZ177" s="67"/>
      <c r="CA177" s="67"/>
      <c r="CB177" s="67"/>
      <c r="CC177" s="67"/>
      <c r="CD177" s="67"/>
      <c r="CE177" s="67"/>
      <c r="CF177" s="67"/>
      <c r="CG177" s="67"/>
      <c r="CH177" s="67"/>
      <c r="CI177" s="67"/>
      <c r="CJ177" s="67"/>
      <c r="CK177" s="67"/>
      <c r="CL177" s="67"/>
      <c r="CM177" s="67"/>
      <c r="CN177" s="67"/>
      <c r="CO177" s="67"/>
      <c r="CP177" s="67"/>
      <c r="CQ177" s="67"/>
      <c r="CR177" s="67"/>
      <c r="CS177" s="67"/>
      <c r="CT177" s="67"/>
      <c r="CU177" s="67"/>
      <c r="CV177" s="67"/>
      <c r="CW177" s="67"/>
      <c r="CX177" s="67"/>
      <c r="CY177" s="67"/>
      <c r="CZ177" s="67"/>
      <c r="DA177" s="67"/>
      <c r="DB177" s="67"/>
      <c r="DC177" s="67"/>
      <c r="DD177" s="67"/>
      <c r="DE177" s="67"/>
      <c r="DF177" s="67"/>
      <c r="DG177" s="67"/>
      <c r="DH177" s="67"/>
      <c r="DI177" s="67"/>
      <c r="DJ177" s="67"/>
      <c r="DK177" s="67"/>
      <c r="DL177" s="67"/>
      <c r="DM177" s="67"/>
      <c r="DN177" s="67"/>
      <c r="DO177" s="67"/>
      <c r="DP177" s="67"/>
      <c r="DQ177" s="67"/>
      <c r="DR177" s="67"/>
      <c r="DS177" s="67"/>
      <c r="DT177" s="67"/>
      <c r="DU177" s="67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  <c r="ER177" s="6"/>
      <c r="ES177" s="6"/>
      <c r="ET177" s="6"/>
      <c r="EU177" s="6"/>
      <c r="EV177" s="6"/>
      <c r="EW177" s="6"/>
      <c r="EX177" s="6"/>
      <c r="EY177" s="6"/>
      <c r="EZ177" s="6"/>
      <c r="FA177" s="6"/>
      <c r="FB177" s="6"/>
      <c r="FC177" s="6"/>
      <c r="FD177" s="6"/>
      <c r="FE177" s="6"/>
      <c r="FF177" s="6"/>
      <c r="FG177" s="6"/>
      <c r="FH177" s="6"/>
      <c r="FI177" s="6"/>
      <c r="FJ177" s="6"/>
      <c r="FK177" s="6"/>
      <c r="FL177" s="6"/>
      <c r="FM177" s="6"/>
      <c r="FN177" s="6"/>
      <c r="FO177" s="6"/>
      <c r="FP177" s="6"/>
      <c r="FQ177" s="6"/>
      <c r="FR177" s="6"/>
      <c r="FS177" s="6"/>
      <c r="FT177" s="6"/>
      <c r="FU177" s="6"/>
      <c r="FV177" s="6"/>
      <c r="FW177" s="6"/>
      <c r="FX177" s="6"/>
      <c r="FY177" s="6"/>
      <c r="FZ177" s="6"/>
      <c r="GA177" s="6"/>
      <c r="GB177" s="6"/>
      <c r="GC177" s="6"/>
      <c r="GD177" s="6"/>
      <c r="GE177" s="6"/>
      <c r="GF177" s="6"/>
      <c r="GG177" s="6"/>
      <c r="GH177" s="6"/>
      <c r="GI177" s="6"/>
      <c r="GJ177" s="6"/>
      <c r="GK177" s="6"/>
      <c r="GL177" s="6"/>
    </row>
    <row r="178" spans="1:194" x14ac:dyDescent="0.25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  <c r="AF178" s="67"/>
      <c r="AG178" s="67"/>
      <c r="AH178" s="67"/>
      <c r="AI178" s="67"/>
      <c r="AJ178" s="67"/>
      <c r="AK178" s="67"/>
      <c r="AL178" s="67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  <c r="BB178" s="67"/>
      <c r="BC178" s="67"/>
      <c r="BD178" s="67"/>
      <c r="BE178" s="67"/>
      <c r="BF178" s="67"/>
      <c r="BG178" s="67"/>
      <c r="BH178" s="67"/>
      <c r="BI178" s="67"/>
      <c r="BJ178" s="67"/>
      <c r="BK178" s="67"/>
      <c r="BL178" s="67"/>
      <c r="BM178" s="67"/>
      <c r="BN178" s="67"/>
      <c r="BO178" s="67"/>
      <c r="BP178" s="67"/>
      <c r="BQ178" s="67"/>
      <c r="BR178" s="67"/>
      <c r="BS178" s="67"/>
      <c r="BT178" s="67"/>
      <c r="BU178" s="67"/>
      <c r="BV178" s="67"/>
      <c r="BW178" s="67"/>
      <c r="BX178" s="67"/>
      <c r="BY178" s="67"/>
      <c r="BZ178" s="67"/>
      <c r="CA178" s="67"/>
      <c r="CB178" s="67"/>
      <c r="CC178" s="67"/>
      <c r="CD178" s="67"/>
      <c r="CE178" s="67"/>
      <c r="CF178" s="67"/>
      <c r="CG178" s="67"/>
      <c r="CH178" s="67"/>
      <c r="CI178" s="67"/>
      <c r="CJ178" s="67"/>
      <c r="CK178" s="67"/>
      <c r="CL178" s="67"/>
      <c r="CM178" s="67"/>
      <c r="CN178" s="67"/>
      <c r="CO178" s="67"/>
      <c r="CP178" s="67"/>
      <c r="CQ178" s="67"/>
      <c r="CR178" s="67"/>
      <c r="CS178" s="67"/>
      <c r="CT178" s="67"/>
      <c r="CU178" s="67"/>
      <c r="CV178" s="67"/>
      <c r="CW178" s="67"/>
      <c r="CX178" s="67"/>
      <c r="CY178" s="67"/>
      <c r="CZ178" s="67"/>
      <c r="DA178" s="67"/>
      <c r="DB178" s="67"/>
      <c r="DC178" s="67"/>
      <c r="DD178" s="67"/>
      <c r="DE178" s="67"/>
      <c r="DF178" s="67"/>
      <c r="DG178" s="67"/>
      <c r="DH178" s="67"/>
      <c r="DI178" s="67"/>
      <c r="DJ178" s="67"/>
      <c r="DK178" s="67"/>
      <c r="DL178" s="67"/>
      <c r="DM178" s="67"/>
      <c r="DN178" s="67"/>
      <c r="DO178" s="67"/>
      <c r="DP178" s="67"/>
      <c r="DQ178" s="67"/>
      <c r="DR178" s="67"/>
      <c r="DS178" s="67"/>
      <c r="DT178" s="67"/>
      <c r="DU178" s="67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  <c r="ER178" s="6"/>
      <c r="ES178" s="6"/>
      <c r="ET178" s="6"/>
      <c r="EU178" s="6"/>
      <c r="EV178" s="6"/>
      <c r="EW178" s="6"/>
      <c r="EX178" s="6"/>
      <c r="EY178" s="6"/>
      <c r="EZ178" s="6"/>
      <c r="FA178" s="6"/>
      <c r="FB178" s="6"/>
      <c r="FC178" s="6"/>
      <c r="FD178" s="6"/>
      <c r="FE178" s="6"/>
      <c r="FF178" s="6"/>
      <c r="FG178" s="6"/>
      <c r="FH178" s="6"/>
      <c r="FI178" s="6"/>
      <c r="FJ178" s="6"/>
      <c r="FK178" s="6"/>
      <c r="FL178" s="6"/>
      <c r="FM178" s="6"/>
      <c r="FN178" s="6"/>
      <c r="FO178" s="6"/>
      <c r="FP178" s="6"/>
      <c r="FQ178" s="6"/>
      <c r="FR178" s="6"/>
      <c r="FS178" s="6"/>
      <c r="FT178" s="6"/>
      <c r="FU178" s="6"/>
      <c r="FV178" s="6"/>
      <c r="FW178" s="6"/>
      <c r="FX178" s="6"/>
      <c r="FY178" s="6"/>
      <c r="FZ178" s="6"/>
      <c r="GA178" s="6"/>
      <c r="GB178" s="6"/>
      <c r="GC178" s="6"/>
      <c r="GD178" s="6"/>
      <c r="GE178" s="6"/>
      <c r="GF178" s="6"/>
      <c r="GG178" s="6"/>
      <c r="GH178" s="6"/>
      <c r="GI178" s="6"/>
      <c r="GJ178" s="6"/>
      <c r="GK178" s="6"/>
      <c r="GL178" s="6"/>
    </row>
    <row r="179" spans="1:194" x14ac:dyDescent="0.25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AH179" s="67"/>
      <c r="AI179" s="67"/>
      <c r="AJ179" s="67"/>
      <c r="AK179" s="67"/>
      <c r="AL179" s="67"/>
      <c r="AM179" s="67"/>
      <c r="AN179" s="67"/>
      <c r="AO179" s="67"/>
      <c r="AP179" s="67"/>
      <c r="AQ179" s="67"/>
      <c r="AR179" s="67"/>
      <c r="AS179" s="67"/>
      <c r="AT179" s="67"/>
      <c r="AU179" s="67"/>
      <c r="AV179" s="67"/>
      <c r="AW179" s="67"/>
      <c r="AX179" s="67"/>
      <c r="AY179" s="67"/>
      <c r="AZ179" s="67"/>
      <c r="BA179" s="67"/>
      <c r="BB179" s="67"/>
      <c r="BC179" s="67"/>
      <c r="BD179" s="67"/>
      <c r="BE179" s="67"/>
      <c r="BF179" s="67"/>
      <c r="BG179" s="67"/>
      <c r="BH179" s="67"/>
      <c r="BI179" s="67"/>
      <c r="BJ179" s="67"/>
      <c r="BK179" s="67"/>
      <c r="BL179" s="67"/>
      <c r="BM179" s="67"/>
      <c r="BN179" s="67"/>
      <c r="BO179" s="67"/>
      <c r="BP179" s="67"/>
      <c r="BQ179" s="67"/>
      <c r="BR179" s="67"/>
      <c r="BS179" s="67"/>
      <c r="BT179" s="67"/>
      <c r="BU179" s="67"/>
      <c r="BV179" s="67"/>
      <c r="BW179" s="67"/>
      <c r="BX179" s="67"/>
      <c r="BY179" s="67"/>
      <c r="BZ179" s="67"/>
      <c r="CA179" s="67"/>
      <c r="CB179" s="67"/>
      <c r="CC179" s="67"/>
      <c r="CD179" s="67"/>
      <c r="CE179" s="67"/>
      <c r="CF179" s="67"/>
      <c r="CG179" s="67"/>
      <c r="CH179" s="67"/>
      <c r="CI179" s="67"/>
      <c r="CJ179" s="67"/>
      <c r="CK179" s="67"/>
      <c r="CL179" s="67"/>
      <c r="CM179" s="67"/>
      <c r="CN179" s="67"/>
      <c r="CO179" s="67"/>
      <c r="CP179" s="67"/>
      <c r="CQ179" s="67"/>
      <c r="CR179" s="67"/>
      <c r="CS179" s="67"/>
      <c r="CT179" s="67"/>
      <c r="CU179" s="67"/>
      <c r="CV179" s="67"/>
      <c r="CW179" s="67"/>
      <c r="CX179" s="67"/>
      <c r="CY179" s="67"/>
      <c r="CZ179" s="67"/>
      <c r="DA179" s="67"/>
      <c r="DB179" s="67"/>
      <c r="DC179" s="67"/>
      <c r="DD179" s="67"/>
      <c r="DE179" s="67"/>
      <c r="DF179" s="67"/>
      <c r="DG179" s="67"/>
      <c r="DH179" s="67"/>
      <c r="DI179" s="67"/>
      <c r="DJ179" s="67"/>
      <c r="DK179" s="67"/>
      <c r="DL179" s="67"/>
      <c r="DM179" s="67"/>
      <c r="DN179" s="67"/>
      <c r="DO179" s="67"/>
      <c r="DP179" s="67"/>
      <c r="DQ179" s="67"/>
      <c r="DR179" s="67"/>
      <c r="DS179" s="67"/>
      <c r="DT179" s="67"/>
      <c r="DU179" s="67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  <c r="ER179" s="6"/>
      <c r="ES179" s="6"/>
      <c r="ET179" s="6"/>
      <c r="EU179" s="6"/>
      <c r="EV179" s="6"/>
      <c r="EW179" s="6"/>
      <c r="EX179" s="6"/>
      <c r="EY179" s="6"/>
      <c r="EZ179" s="6"/>
      <c r="FA179" s="6"/>
      <c r="FB179" s="6"/>
      <c r="FC179" s="6"/>
      <c r="FD179" s="6"/>
      <c r="FE179" s="6"/>
      <c r="FF179" s="6"/>
      <c r="FG179" s="6"/>
      <c r="FH179" s="6"/>
      <c r="FI179" s="6"/>
      <c r="FJ179" s="6"/>
      <c r="FK179" s="6"/>
      <c r="FL179" s="6"/>
      <c r="FM179" s="6"/>
      <c r="FN179" s="6"/>
      <c r="FO179" s="6"/>
      <c r="FP179" s="6"/>
      <c r="FQ179" s="6"/>
      <c r="FR179" s="6"/>
      <c r="FS179" s="6"/>
      <c r="FT179" s="6"/>
      <c r="FU179" s="6"/>
      <c r="FV179" s="6"/>
      <c r="FW179" s="6"/>
      <c r="FX179" s="6"/>
      <c r="FY179" s="6"/>
      <c r="FZ179" s="6"/>
      <c r="GA179" s="6"/>
      <c r="GB179" s="6"/>
      <c r="GC179" s="6"/>
      <c r="GD179" s="6"/>
      <c r="GE179" s="6"/>
      <c r="GF179" s="6"/>
      <c r="GG179" s="6"/>
      <c r="GH179" s="6"/>
      <c r="GI179" s="6"/>
      <c r="GJ179" s="6"/>
      <c r="GK179" s="6"/>
      <c r="GL179" s="6"/>
    </row>
    <row r="180" spans="1:194" x14ac:dyDescent="0.25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AH180" s="67"/>
      <c r="AI180" s="67"/>
      <c r="AJ180" s="67"/>
      <c r="AK180" s="67"/>
      <c r="AL180" s="67"/>
      <c r="AM180" s="67"/>
      <c r="AN180" s="67"/>
      <c r="AO180" s="67"/>
      <c r="AP180" s="67"/>
      <c r="AQ180" s="67"/>
      <c r="AR180" s="67"/>
      <c r="AS180" s="67"/>
      <c r="AT180" s="67"/>
      <c r="AU180" s="67"/>
      <c r="AV180" s="67"/>
      <c r="AW180" s="67"/>
      <c r="AX180" s="67"/>
      <c r="AY180" s="67"/>
      <c r="AZ180" s="67"/>
      <c r="BA180" s="67"/>
      <c r="BB180" s="67"/>
      <c r="BC180" s="67"/>
      <c r="BD180" s="67"/>
      <c r="BE180" s="67"/>
      <c r="BF180" s="67"/>
      <c r="BG180" s="67"/>
      <c r="BH180" s="67"/>
      <c r="BI180" s="67"/>
      <c r="BJ180" s="67"/>
      <c r="BK180" s="67"/>
      <c r="BL180" s="67"/>
      <c r="BM180" s="67"/>
      <c r="BN180" s="67"/>
      <c r="BO180" s="67"/>
      <c r="BP180" s="67"/>
      <c r="BQ180" s="67"/>
      <c r="BR180" s="67"/>
      <c r="BS180" s="67"/>
      <c r="BT180" s="67"/>
      <c r="BU180" s="67"/>
      <c r="BV180" s="67"/>
      <c r="BW180" s="67"/>
      <c r="BX180" s="67"/>
      <c r="BY180" s="67"/>
      <c r="BZ180" s="67"/>
      <c r="CA180" s="67"/>
      <c r="CB180" s="67"/>
      <c r="CC180" s="67"/>
      <c r="CD180" s="67"/>
      <c r="CE180" s="67"/>
      <c r="CF180" s="67"/>
      <c r="CG180" s="67"/>
      <c r="CH180" s="67"/>
      <c r="CI180" s="67"/>
      <c r="CJ180" s="67"/>
      <c r="CK180" s="67"/>
      <c r="CL180" s="67"/>
      <c r="CM180" s="67"/>
      <c r="CN180" s="67"/>
      <c r="CO180" s="67"/>
      <c r="CP180" s="67"/>
      <c r="CQ180" s="67"/>
      <c r="CR180" s="67"/>
      <c r="CS180" s="67"/>
      <c r="CT180" s="67"/>
      <c r="CU180" s="67"/>
      <c r="CV180" s="67"/>
      <c r="CW180" s="67"/>
      <c r="CX180" s="67"/>
      <c r="CY180" s="67"/>
      <c r="CZ180" s="67"/>
      <c r="DA180" s="67"/>
      <c r="DB180" s="67"/>
      <c r="DC180" s="67"/>
      <c r="DD180" s="67"/>
      <c r="DE180" s="67"/>
      <c r="DF180" s="67"/>
      <c r="DG180" s="67"/>
      <c r="DH180" s="67"/>
      <c r="DI180" s="67"/>
      <c r="DJ180" s="67"/>
      <c r="DK180" s="67"/>
      <c r="DL180" s="67"/>
      <c r="DM180" s="67"/>
      <c r="DN180" s="67"/>
      <c r="DO180" s="67"/>
      <c r="DP180" s="67"/>
      <c r="DQ180" s="67"/>
      <c r="DR180" s="67"/>
      <c r="DS180" s="67"/>
      <c r="DT180" s="67"/>
      <c r="DU180" s="67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  <c r="ER180" s="6"/>
      <c r="ES180" s="6"/>
      <c r="ET180" s="6"/>
      <c r="EU180" s="6"/>
      <c r="EV180" s="6"/>
      <c r="EW180" s="6"/>
      <c r="EX180" s="6"/>
      <c r="EY180" s="6"/>
      <c r="EZ180" s="6"/>
      <c r="FA180" s="6"/>
      <c r="FB180" s="6"/>
      <c r="FC180" s="6"/>
      <c r="FD180" s="6"/>
      <c r="FE180" s="6"/>
      <c r="FF180" s="6"/>
      <c r="FG180" s="6"/>
      <c r="FH180" s="6"/>
      <c r="FI180" s="6"/>
      <c r="FJ180" s="6"/>
      <c r="FK180" s="6"/>
      <c r="FL180" s="6"/>
      <c r="FM180" s="6"/>
      <c r="FN180" s="6"/>
      <c r="FO180" s="6"/>
      <c r="FP180" s="6"/>
      <c r="FQ180" s="6"/>
      <c r="FR180" s="6"/>
      <c r="FS180" s="6"/>
      <c r="FT180" s="6"/>
      <c r="FU180" s="6"/>
      <c r="FV180" s="6"/>
      <c r="FW180" s="6"/>
      <c r="FX180" s="6"/>
      <c r="FY180" s="6"/>
      <c r="FZ180" s="6"/>
      <c r="GA180" s="6"/>
      <c r="GB180" s="6"/>
      <c r="GC180" s="6"/>
      <c r="GD180" s="6"/>
      <c r="GE180" s="6"/>
      <c r="GF180" s="6"/>
      <c r="GG180" s="6"/>
      <c r="GH180" s="6"/>
      <c r="GI180" s="6"/>
      <c r="GJ180" s="6"/>
      <c r="GK180" s="6"/>
      <c r="GL180" s="6"/>
    </row>
    <row r="181" spans="1:194" x14ac:dyDescent="0.25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  <c r="AD181" s="67"/>
      <c r="AE181" s="67"/>
      <c r="AF181" s="67"/>
      <c r="AG181" s="67"/>
      <c r="AH181" s="67"/>
      <c r="AI181" s="67"/>
      <c r="AJ181" s="67"/>
      <c r="AK181" s="67"/>
      <c r="AL181" s="67"/>
      <c r="AM181" s="67"/>
      <c r="AN181" s="67"/>
      <c r="AO181" s="67"/>
      <c r="AP181" s="67"/>
      <c r="AQ181" s="67"/>
      <c r="AR181" s="67"/>
      <c r="AS181" s="67"/>
      <c r="AT181" s="67"/>
      <c r="AU181" s="67"/>
      <c r="AV181" s="67"/>
      <c r="AW181" s="67"/>
      <c r="AX181" s="67"/>
      <c r="AY181" s="67"/>
      <c r="AZ181" s="67"/>
      <c r="BA181" s="67"/>
      <c r="BB181" s="67"/>
      <c r="BC181" s="67"/>
      <c r="BD181" s="67"/>
      <c r="BE181" s="67"/>
      <c r="BF181" s="67"/>
      <c r="BG181" s="67"/>
      <c r="BH181" s="67"/>
      <c r="BI181" s="67"/>
      <c r="BJ181" s="67"/>
      <c r="BK181" s="67"/>
      <c r="BL181" s="67"/>
      <c r="BM181" s="67"/>
      <c r="BN181" s="67"/>
      <c r="BO181" s="67"/>
      <c r="BP181" s="67"/>
      <c r="BQ181" s="67"/>
      <c r="BR181" s="67"/>
      <c r="BS181" s="67"/>
      <c r="BT181" s="67"/>
      <c r="BU181" s="67"/>
      <c r="BV181" s="67"/>
      <c r="BW181" s="67"/>
      <c r="BX181" s="67"/>
      <c r="BY181" s="67"/>
      <c r="BZ181" s="67"/>
      <c r="CA181" s="67"/>
      <c r="CB181" s="67"/>
      <c r="CC181" s="67"/>
      <c r="CD181" s="67"/>
      <c r="CE181" s="67"/>
      <c r="CF181" s="67"/>
      <c r="CG181" s="67"/>
      <c r="CH181" s="67"/>
      <c r="CI181" s="67"/>
      <c r="CJ181" s="67"/>
      <c r="CK181" s="67"/>
      <c r="CL181" s="67"/>
      <c r="CM181" s="67"/>
      <c r="CN181" s="67"/>
      <c r="CO181" s="67"/>
      <c r="CP181" s="67"/>
      <c r="CQ181" s="67"/>
      <c r="CR181" s="67"/>
      <c r="CS181" s="67"/>
      <c r="CT181" s="67"/>
      <c r="CU181" s="67"/>
      <c r="CV181" s="67"/>
      <c r="CW181" s="67"/>
      <c r="CX181" s="67"/>
      <c r="CY181" s="67"/>
      <c r="CZ181" s="67"/>
      <c r="DA181" s="67"/>
      <c r="DB181" s="67"/>
      <c r="DC181" s="67"/>
      <c r="DD181" s="67"/>
      <c r="DE181" s="67"/>
      <c r="DF181" s="67"/>
      <c r="DG181" s="67"/>
      <c r="DH181" s="67"/>
      <c r="DI181" s="67"/>
      <c r="DJ181" s="67"/>
      <c r="DK181" s="67"/>
      <c r="DL181" s="67"/>
      <c r="DM181" s="67"/>
      <c r="DN181" s="67"/>
      <c r="DO181" s="67"/>
      <c r="DP181" s="67"/>
      <c r="DQ181" s="67"/>
      <c r="DR181" s="67"/>
      <c r="DS181" s="67"/>
      <c r="DT181" s="67"/>
      <c r="DU181" s="67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  <c r="ER181" s="6"/>
      <c r="ES181" s="6"/>
      <c r="ET181" s="6"/>
      <c r="EU181" s="6"/>
      <c r="EV181" s="6"/>
      <c r="EW181" s="6"/>
      <c r="EX181" s="6"/>
      <c r="EY181" s="6"/>
      <c r="EZ181" s="6"/>
      <c r="FA181" s="6"/>
      <c r="FB181" s="6"/>
      <c r="FC181" s="6"/>
      <c r="FD181" s="6"/>
      <c r="FE181" s="6"/>
      <c r="FF181" s="6"/>
      <c r="FG181" s="6"/>
      <c r="FH181" s="6"/>
      <c r="FI181" s="6"/>
      <c r="FJ181" s="6"/>
      <c r="FK181" s="6"/>
      <c r="FL181" s="6"/>
      <c r="FM181" s="6"/>
      <c r="FN181" s="6"/>
      <c r="FO181" s="6"/>
      <c r="FP181" s="6"/>
      <c r="FQ181" s="6"/>
      <c r="FR181" s="6"/>
      <c r="FS181" s="6"/>
      <c r="FT181" s="6"/>
      <c r="FU181" s="6"/>
      <c r="FV181" s="6"/>
      <c r="FW181" s="6"/>
      <c r="FX181" s="6"/>
      <c r="FY181" s="6"/>
      <c r="FZ181" s="6"/>
      <c r="GA181" s="6"/>
      <c r="GB181" s="6"/>
      <c r="GC181" s="6"/>
      <c r="GD181" s="6"/>
      <c r="GE181" s="6"/>
      <c r="GF181" s="6"/>
      <c r="GG181" s="6"/>
      <c r="GH181" s="6"/>
      <c r="GI181" s="6"/>
      <c r="GJ181" s="6"/>
      <c r="GK181" s="6"/>
      <c r="GL181" s="6"/>
    </row>
    <row r="182" spans="1:194" x14ac:dyDescent="0.25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7"/>
      <c r="AE182" s="67"/>
      <c r="AF182" s="67"/>
      <c r="AG182" s="67"/>
      <c r="AH182" s="67"/>
      <c r="AI182" s="67"/>
      <c r="AJ182" s="67"/>
      <c r="AK182" s="67"/>
      <c r="AL182" s="67"/>
      <c r="AM182" s="67"/>
      <c r="AN182" s="67"/>
      <c r="AO182" s="67"/>
      <c r="AP182" s="67"/>
      <c r="AQ182" s="67"/>
      <c r="AR182" s="67"/>
      <c r="AS182" s="67"/>
      <c r="AT182" s="67"/>
      <c r="AU182" s="67"/>
      <c r="AV182" s="67"/>
      <c r="AW182" s="67"/>
      <c r="AX182" s="67"/>
      <c r="AY182" s="67"/>
      <c r="AZ182" s="67"/>
      <c r="BA182" s="67"/>
      <c r="BB182" s="67"/>
      <c r="BC182" s="67"/>
      <c r="BD182" s="67"/>
      <c r="BE182" s="67"/>
      <c r="BF182" s="67"/>
      <c r="BG182" s="67"/>
      <c r="BH182" s="67"/>
      <c r="BI182" s="67"/>
      <c r="BJ182" s="67"/>
      <c r="BK182" s="67"/>
      <c r="BL182" s="67"/>
      <c r="BM182" s="67"/>
      <c r="BN182" s="67"/>
      <c r="BO182" s="67"/>
      <c r="BP182" s="67"/>
      <c r="BQ182" s="67"/>
      <c r="BR182" s="67"/>
      <c r="BS182" s="67"/>
      <c r="BT182" s="67"/>
      <c r="BU182" s="67"/>
      <c r="BV182" s="67"/>
      <c r="BW182" s="67"/>
      <c r="BX182" s="67"/>
      <c r="BY182" s="67"/>
      <c r="BZ182" s="67"/>
      <c r="CA182" s="67"/>
      <c r="CB182" s="67"/>
      <c r="CC182" s="67"/>
      <c r="CD182" s="67"/>
      <c r="CE182" s="67"/>
      <c r="CF182" s="67"/>
      <c r="CG182" s="67"/>
      <c r="CH182" s="67"/>
      <c r="CI182" s="67"/>
      <c r="CJ182" s="67"/>
      <c r="CK182" s="67"/>
      <c r="CL182" s="67"/>
      <c r="CM182" s="67"/>
      <c r="CN182" s="67"/>
      <c r="CO182" s="67"/>
      <c r="CP182" s="67"/>
      <c r="CQ182" s="67"/>
      <c r="CR182" s="67"/>
      <c r="CS182" s="67"/>
      <c r="CT182" s="67"/>
      <c r="CU182" s="67"/>
      <c r="CV182" s="67"/>
      <c r="CW182" s="67"/>
      <c r="CX182" s="67"/>
      <c r="CY182" s="67"/>
      <c r="CZ182" s="67"/>
      <c r="DA182" s="67"/>
      <c r="DB182" s="67"/>
      <c r="DC182" s="67"/>
      <c r="DD182" s="67"/>
      <c r="DE182" s="67"/>
      <c r="DF182" s="67"/>
      <c r="DG182" s="67"/>
      <c r="DH182" s="67"/>
      <c r="DI182" s="67"/>
      <c r="DJ182" s="67"/>
      <c r="DK182" s="67"/>
      <c r="DL182" s="67"/>
      <c r="DM182" s="67"/>
      <c r="DN182" s="67"/>
      <c r="DO182" s="67"/>
      <c r="DP182" s="67"/>
      <c r="DQ182" s="67"/>
      <c r="DR182" s="67"/>
      <c r="DS182" s="67"/>
      <c r="DT182" s="67"/>
      <c r="DU182" s="67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  <c r="ER182" s="6"/>
      <c r="ES182" s="6"/>
      <c r="ET182" s="6"/>
      <c r="EU182" s="6"/>
      <c r="EV182" s="6"/>
      <c r="EW182" s="6"/>
      <c r="EX182" s="6"/>
      <c r="EY182" s="6"/>
      <c r="EZ182" s="6"/>
      <c r="FA182" s="6"/>
      <c r="FB182" s="6"/>
      <c r="FC182" s="6"/>
      <c r="FD182" s="6"/>
      <c r="FE182" s="6"/>
      <c r="FF182" s="6"/>
      <c r="FG182" s="6"/>
      <c r="FH182" s="6"/>
      <c r="FI182" s="6"/>
      <c r="FJ182" s="6"/>
      <c r="FK182" s="6"/>
      <c r="FL182" s="6"/>
      <c r="FM182" s="6"/>
      <c r="FN182" s="6"/>
      <c r="FO182" s="6"/>
      <c r="FP182" s="6"/>
      <c r="FQ182" s="6"/>
      <c r="FR182" s="6"/>
      <c r="FS182" s="6"/>
      <c r="FT182" s="6"/>
      <c r="FU182" s="6"/>
      <c r="FV182" s="6"/>
      <c r="FW182" s="6"/>
      <c r="FX182" s="6"/>
      <c r="FY182" s="6"/>
      <c r="FZ182" s="6"/>
      <c r="GA182" s="6"/>
      <c r="GB182" s="6"/>
      <c r="GC182" s="6"/>
      <c r="GD182" s="6"/>
      <c r="GE182" s="6"/>
      <c r="GF182" s="6"/>
      <c r="GG182" s="6"/>
      <c r="GH182" s="6"/>
      <c r="GI182" s="6"/>
      <c r="GJ182" s="6"/>
      <c r="GK182" s="6"/>
      <c r="GL182" s="6"/>
    </row>
    <row r="183" spans="1:194" x14ac:dyDescent="0.25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7"/>
      <c r="AE183" s="67"/>
      <c r="AF183" s="67"/>
      <c r="AG183" s="67"/>
      <c r="AH183" s="67"/>
      <c r="AI183" s="67"/>
      <c r="AJ183" s="67"/>
      <c r="AK183" s="67"/>
      <c r="AL183" s="67"/>
      <c r="AM183" s="67"/>
      <c r="AN183" s="67"/>
      <c r="AO183" s="67"/>
      <c r="AP183" s="67"/>
      <c r="AQ183" s="67"/>
      <c r="AR183" s="67"/>
      <c r="AS183" s="67"/>
      <c r="AT183" s="67"/>
      <c r="AU183" s="67"/>
      <c r="AV183" s="67"/>
      <c r="AW183" s="67"/>
      <c r="AX183" s="67"/>
      <c r="AY183" s="67"/>
      <c r="AZ183" s="67"/>
      <c r="BA183" s="67"/>
      <c r="BB183" s="67"/>
      <c r="BC183" s="67"/>
      <c r="BD183" s="67"/>
      <c r="BE183" s="67"/>
      <c r="BF183" s="67"/>
      <c r="BG183" s="67"/>
      <c r="BH183" s="67"/>
      <c r="BI183" s="67"/>
      <c r="BJ183" s="67"/>
      <c r="BK183" s="67"/>
      <c r="BL183" s="67"/>
      <c r="BM183" s="67"/>
      <c r="BN183" s="67"/>
      <c r="BO183" s="67"/>
      <c r="BP183" s="67"/>
      <c r="BQ183" s="67"/>
      <c r="BR183" s="67"/>
      <c r="BS183" s="67"/>
      <c r="BT183" s="67"/>
      <c r="BU183" s="67"/>
      <c r="BV183" s="67"/>
      <c r="BW183" s="67"/>
      <c r="BX183" s="67"/>
      <c r="BY183" s="67"/>
      <c r="BZ183" s="67"/>
      <c r="CA183" s="67"/>
      <c r="CB183" s="67"/>
      <c r="CC183" s="67"/>
      <c r="CD183" s="67"/>
      <c r="CE183" s="67"/>
      <c r="CF183" s="67"/>
      <c r="CG183" s="67"/>
      <c r="CH183" s="67"/>
      <c r="CI183" s="67"/>
      <c r="CJ183" s="67"/>
      <c r="CK183" s="67"/>
      <c r="CL183" s="67"/>
      <c r="CM183" s="67"/>
      <c r="CN183" s="67"/>
      <c r="CO183" s="67"/>
      <c r="CP183" s="67"/>
      <c r="CQ183" s="67"/>
      <c r="CR183" s="67"/>
      <c r="CS183" s="67"/>
      <c r="CT183" s="67"/>
      <c r="CU183" s="67"/>
      <c r="CV183" s="67"/>
      <c r="CW183" s="67"/>
      <c r="CX183" s="67"/>
      <c r="CY183" s="67"/>
      <c r="CZ183" s="67"/>
      <c r="DA183" s="67"/>
      <c r="DB183" s="67"/>
      <c r="DC183" s="67"/>
      <c r="DD183" s="67"/>
      <c r="DE183" s="67"/>
      <c r="DF183" s="67"/>
      <c r="DG183" s="67"/>
      <c r="DH183" s="67"/>
      <c r="DI183" s="67"/>
      <c r="DJ183" s="67"/>
      <c r="DK183" s="67"/>
      <c r="DL183" s="67"/>
      <c r="DM183" s="67"/>
      <c r="DN183" s="67"/>
      <c r="DO183" s="67"/>
      <c r="DP183" s="67"/>
      <c r="DQ183" s="67"/>
      <c r="DR183" s="67"/>
      <c r="DS183" s="67"/>
      <c r="DT183" s="67"/>
      <c r="DU183" s="67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  <c r="ER183" s="6"/>
      <c r="ES183" s="6"/>
      <c r="ET183" s="6"/>
      <c r="EU183" s="6"/>
      <c r="EV183" s="6"/>
      <c r="EW183" s="6"/>
      <c r="EX183" s="6"/>
      <c r="EY183" s="6"/>
      <c r="EZ183" s="6"/>
      <c r="FA183" s="6"/>
      <c r="FB183" s="6"/>
      <c r="FC183" s="6"/>
      <c r="FD183" s="6"/>
      <c r="FE183" s="6"/>
      <c r="FF183" s="6"/>
      <c r="FG183" s="6"/>
      <c r="FH183" s="6"/>
      <c r="FI183" s="6"/>
      <c r="FJ183" s="6"/>
      <c r="FK183" s="6"/>
      <c r="FL183" s="6"/>
      <c r="FM183" s="6"/>
      <c r="FN183" s="6"/>
      <c r="FO183" s="6"/>
      <c r="FP183" s="6"/>
      <c r="FQ183" s="6"/>
      <c r="FR183" s="6"/>
      <c r="FS183" s="6"/>
      <c r="FT183" s="6"/>
      <c r="FU183" s="6"/>
      <c r="FV183" s="6"/>
      <c r="FW183" s="6"/>
      <c r="FX183" s="6"/>
      <c r="FY183" s="6"/>
      <c r="FZ183" s="6"/>
      <c r="GA183" s="6"/>
      <c r="GB183" s="6"/>
      <c r="GC183" s="6"/>
      <c r="GD183" s="6"/>
      <c r="GE183" s="6"/>
      <c r="GF183" s="6"/>
      <c r="GG183" s="6"/>
      <c r="GH183" s="6"/>
      <c r="GI183" s="6"/>
      <c r="GJ183" s="6"/>
      <c r="GK183" s="6"/>
      <c r="GL183" s="6"/>
    </row>
    <row r="184" spans="1:194" x14ac:dyDescent="0.25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  <c r="AF184" s="67"/>
      <c r="AG184" s="67"/>
      <c r="AH184" s="67"/>
      <c r="AI184" s="67"/>
      <c r="AJ184" s="67"/>
      <c r="AK184" s="67"/>
      <c r="AL184" s="67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  <c r="AX184" s="67"/>
      <c r="AY184" s="67"/>
      <c r="AZ184" s="67"/>
      <c r="BA184" s="67"/>
      <c r="BB184" s="67"/>
      <c r="BC184" s="67"/>
      <c r="BD184" s="67"/>
      <c r="BE184" s="67"/>
      <c r="BF184" s="67"/>
      <c r="BG184" s="67"/>
      <c r="BH184" s="67"/>
      <c r="BI184" s="67"/>
      <c r="BJ184" s="67"/>
      <c r="BK184" s="67"/>
      <c r="BL184" s="67"/>
      <c r="BM184" s="67"/>
      <c r="BN184" s="67"/>
      <c r="BO184" s="67"/>
      <c r="BP184" s="67"/>
      <c r="BQ184" s="67"/>
      <c r="BR184" s="67"/>
      <c r="BS184" s="67"/>
      <c r="BT184" s="67"/>
      <c r="BU184" s="67"/>
      <c r="BV184" s="67"/>
      <c r="BW184" s="67"/>
      <c r="BX184" s="67"/>
      <c r="BY184" s="67"/>
      <c r="BZ184" s="67"/>
      <c r="CA184" s="67"/>
      <c r="CB184" s="67"/>
      <c r="CC184" s="67"/>
      <c r="CD184" s="67"/>
      <c r="CE184" s="67"/>
      <c r="CF184" s="67"/>
      <c r="CG184" s="67"/>
      <c r="CH184" s="67"/>
      <c r="CI184" s="67"/>
      <c r="CJ184" s="67"/>
      <c r="CK184" s="67"/>
      <c r="CL184" s="67"/>
      <c r="CM184" s="67"/>
      <c r="CN184" s="67"/>
      <c r="CO184" s="67"/>
      <c r="CP184" s="67"/>
      <c r="CQ184" s="67"/>
      <c r="CR184" s="67"/>
      <c r="CS184" s="67"/>
      <c r="CT184" s="67"/>
      <c r="CU184" s="67"/>
      <c r="CV184" s="67"/>
      <c r="CW184" s="67"/>
      <c r="CX184" s="67"/>
      <c r="CY184" s="67"/>
      <c r="CZ184" s="67"/>
      <c r="DA184" s="67"/>
      <c r="DB184" s="67"/>
      <c r="DC184" s="67"/>
      <c r="DD184" s="67"/>
      <c r="DE184" s="67"/>
      <c r="DF184" s="67"/>
      <c r="DG184" s="67"/>
      <c r="DH184" s="67"/>
      <c r="DI184" s="67"/>
      <c r="DJ184" s="67"/>
      <c r="DK184" s="67"/>
      <c r="DL184" s="67"/>
      <c r="DM184" s="67"/>
      <c r="DN184" s="67"/>
      <c r="DO184" s="67"/>
      <c r="DP184" s="67"/>
      <c r="DQ184" s="67"/>
      <c r="DR184" s="67"/>
      <c r="DS184" s="67"/>
      <c r="DT184" s="67"/>
      <c r="DU184" s="67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  <c r="ER184" s="6"/>
      <c r="ES184" s="6"/>
      <c r="ET184" s="6"/>
      <c r="EU184" s="6"/>
      <c r="EV184" s="6"/>
      <c r="EW184" s="6"/>
      <c r="EX184" s="6"/>
      <c r="EY184" s="6"/>
      <c r="EZ184" s="6"/>
      <c r="FA184" s="6"/>
      <c r="FB184" s="6"/>
      <c r="FC184" s="6"/>
      <c r="FD184" s="6"/>
      <c r="FE184" s="6"/>
      <c r="FF184" s="6"/>
      <c r="FG184" s="6"/>
      <c r="FH184" s="6"/>
      <c r="FI184" s="6"/>
      <c r="FJ184" s="6"/>
      <c r="FK184" s="6"/>
      <c r="FL184" s="6"/>
      <c r="FM184" s="6"/>
      <c r="FN184" s="6"/>
      <c r="FO184" s="6"/>
      <c r="FP184" s="6"/>
      <c r="FQ184" s="6"/>
      <c r="FR184" s="6"/>
      <c r="FS184" s="6"/>
      <c r="FT184" s="6"/>
      <c r="FU184" s="6"/>
      <c r="FV184" s="6"/>
      <c r="FW184" s="6"/>
      <c r="FX184" s="6"/>
      <c r="FY184" s="6"/>
      <c r="FZ184" s="6"/>
      <c r="GA184" s="6"/>
      <c r="GB184" s="6"/>
      <c r="GC184" s="6"/>
      <c r="GD184" s="6"/>
      <c r="GE184" s="6"/>
      <c r="GF184" s="6"/>
      <c r="GG184" s="6"/>
      <c r="GH184" s="6"/>
      <c r="GI184" s="6"/>
      <c r="GJ184" s="6"/>
      <c r="GK184" s="6"/>
      <c r="GL184" s="6"/>
    </row>
    <row r="185" spans="1:194" x14ac:dyDescent="0.25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AH185" s="67"/>
      <c r="AI185" s="67"/>
      <c r="AJ185" s="67"/>
      <c r="AK185" s="67"/>
      <c r="AL185" s="67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  <c r="BB185" s="67"/>
      <c r="BC185" s="67"/>
      <c r="BD185" s="67"/>
      <c r="BE185" s="67"/>
      <c r="BF185" s="67"/>
      <c r="BG185" s="67"/>
      <c r="BH185" s="67"/>
      <c r="BI185" s="67"/>
      <c r="BJ185" s="67"/>
      <c r="BK185" s="67"/>
      <c r="BL185" s="67"/>
      <c r="BM185" s="67"/>
      <c r="BN185" s="67"/>
      <c r="BO185" s="67"/>
      <c r="BP185" s="67"/>
      <c r="BQ185" s="67"/>
      <c r="BR185" s="67"/>
      <c r="BS185" s="67"/>
      <c r="BT185" s="67"/>
      <c r="BU185" s="67"/>
      <c r="BV185" s="67"/>
      <c r="BW185" s="67"/>
      <c r="BX185" s="67"/>
      <c r="BY185" s="67"/>
      <c r="BZ185" s="67"/>
      <c r="CA185" s="67"/>
      <c r="CB185" s="67"/>
      <c r="CC185" s="67"/>
      <c r="CD185" s="67"/>
      <c r="CE185" s="67"/>
      <c r="CF185" s="67"/>
      <c r="CG185" s="67"/>
      <c r="CH185" s="67"/>
      <c r="CI185" s="67"/>
      <c r="CJ185" s="67"/>
      <c r="CK185" s="67"/>
      <c r="CL185" s="67"/>
      <c r="CM185" s="67"/>
      <c r="CN185" s="67"/>
      <c r="CO185" s="67"/>
      <c r="CP185" s="67"/>
      <c r="CQ185" s="67"/>
      <c r="CR185" s="67"/>
      <c r="CS185" s="67"/>
      <c r="CT185" s="67"/>
      <c r="CU185" s="67"/>
      <c r="CV185" s="67"/>
      <c r="CW185" s="67"/>
      <c r="CX185" s="67"/>
      <c r="CY185" s="67"/>
      <c r="CZ185" s="67"/>
      <c r="DA185" s="67"/>
      <c r="DB185" s="67"/>
      <c r="DC185" s="67"/>
      <c r="DD185" s="67"/>
      <c r="DE185" s="67"/>
      <c r="DF185" s="67"/>
      <c r="DG185" s="67"/>
      <c r="DH185" s="67"/>
      <c r="DI185" s="67"/>
      <c r="DJ185" s="67"/>
      <c r="DK185" s="67"/>
      <c r="DL185" s="67"/>
      <c r="DM185" s="67"/>
      <c r="DN185" s="67"/>
      <c r="DO185" s="67"/>
      <c r="DP185" s="67"/>
      <c r="DQ185" s="67"/>
      <c r="DR185" s="67"/>
      <c r="DS185" s="67"/>
      <c r="DT185" s="67"/>
      <c r="DU185" s="67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  <c r="ER185" s="6"/>
      <c r="ES185" s="6"/>
      <c r="ET185" s="6"/>
      <c r="EU185" s="6"/>
      <c r="EV185" s="6"/>
      <c r="EW185" s="6"/>
      <c r="EX185" s="6"/>
      <c r="EY185" s="6"/>
      <c r="EZ185" s="6"/>
      <c r="FA185" s="6"/>
      <c r="FB185" s="6"/>
      <c r="FC185" s="6"/>
      <c r="FD185" s="6"/>
      <c r="FE185" s="6"/>
      <c r="FF185" s="6"/>
      <c r="FG185" s="6"/>
      <c r="FH185" s="6"/>
      <c r="FI185" s="6"/>
      <c r="FJ185" s="6"/>
      <c r="FK185" s="6"/>
      <c r="FL185" s="6"/>
      <c r="FM185" s="6"/>
      <c r="FN185" s="6"/>
      <c r="FO185" s="6"/>
      <c r="FP185" s="6"/>
      <c r="FQ185" s="6"/>
      <c r="FR185" s="6"/>
      <c r="FS185" s="6"/>
      <c r="FT185" s="6"/>
      <c r="FU185" s="6"/>
      <c r="FV185" s="6"/>
      <c r="FW185" s="6"/>
      <c r="FX185" s="6"/>
      <c r="FY185" s="6"/>
      <c r="FZ185" s="6"/>
      <c r="GA185" s="6"/>
      <c r="GB185" s="6"/>
      <c r="GC185" s="6"/>
      <c r="GD185" s="6"/>
      <c r="GE185" s="6"/>
      <c r="GF185" s="6"/>
      <c r="GG185" s="6"/>
      <c r="GH185" s="6"/>
      <c r="GI185" s="6"/>
      <c r="GJ185" s="6"/>
      <c r="GK185" s="6"/>
      <c r="GL185" s="6"/>
    </row>
    <row r="186" spans="1:194" x14ac:dyDescent="0.25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AH186" s="67"/>
      <c r="AI186" s="67"/>
      <c r="AJ186" s="67"/>
      <c r="AK186" s="67"/>
      <c r="AL186" s="67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  <c r="BI186" s="67"/>
      <c r="BJ186" s="67"/>
      <c r="BK186" s="67"/>
      <c r="BL186" s="67"/>
      <c r="BM186" s="67"/>
      <c r="BN186" s="67"/>
      <c r="BO186" s="67"/>
      <c r="BP186" s="67"/>
      <c r="BQ186" s="67"/>
      <c r="BR186" s="67"/>
      <c r="BS186" s="67"/>
      <c r="BT186" s="67"/>
      <c r="BU186" s="67"/>
      <c r="BV186" s="67"/>
      <c r="BW186" s="67"/>
      <c r="BX186" s="67"/>
      <c r="BY186" s="67"/>
      <c r="BZ186" s="67"/>
      <c r="CA186" s="67"/>
      <c r="CB186" s="67"/>
      <c r="CC186" s="67"/>
      <c r="CD186" s="67"/>
      <c r="CE186" s="67"/>
      <c r="CF186" s="67"/>
      <c r="CG186" s="67"/>
      <c r="CH186" s="67"/>
      <c r="CI186" s="67"/>
      <c r="CJ186" s="67"/>
      <c r="CK186" s="67"/>
      <c r="CL186" s="67"/>
      <c r="CM186" s="67"/>
      <c r="CN186" s="67"/>
      <c r="CO186" s="67"/>
      <c r="CP186" s="67"/>
      <c r="CQ186" s="67"/>
      <c r="CR186" s="67"/>
      <c r="CS186" s="67"/>
      <c r="CT186" s="67"/>
      <c r="CU186" s="67"/>
      <c r="CV186" s="67"/>
      <c r="CW186" s="67"/>
      <c r="CX186" s="67"/>
      <c r="CY186" s="67"/>
      <c r="CZ186" s="67"/>
      <c r="DA186" s="67"/>
      <c r="DB186" s="67"/>
      <c r="DC186" s="67"/>
      <c r="DD186" s="67"/>
      <c r="DE186" s="67"/>
      <c r="DF186" s="67"/>
      <c r="DG186" s="67"/>
      <c r="DH186" s="67"/>
      <c r="DI186" s="67"/>
      <c r="DJ186" s="67"/>
      <c r="DK186" s="67"/>
      <c r="DL186" s="67"/>
      <c r="DM186" s="67"/>
      <c r="DN186" s="67"/>
      <c r="DO186" s="67"/>
      <c r="DP186" s="67"/>
      <c r="DQ186" s="67"/>
      <c r="DR186" s="67"/>
      <c r="DS186" s="67"/>
      <c r="DT186" s="67"/>
      <c r="DU186" s="67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  <c r="ER186" s="6"/>
      <c r="ES186" s="6"/>
      <c r="ET186" s="6"/>
      <c r="EU186" s="6"/>
      <c r="EV186" s="6"/>
      <c r="EW186" s="6"/>
      <c r="EX186" s="6"/>
      <c r="EY186" s="6"/>
      <c r="EZ186" s="6"/>
      <c r="FA186" s="6"/>
      <c r="FB186" s="6"/>
      <c r="FC186" s="6"/>
      <c r="FD186" s="6"/>
      <c r="FE186" s="6"/>
      <c r="FF186" s="6"/>
      <c r="FG186" s="6"/>
      <c r="FH186" s="6"/>
      <c r="FI186" s="6"/>
      <c r="FJ186" s="6"/>
      <c r="FK186" s="6"/>
      <c r="FL186" s="6"/>
      <c r="FM186" s="6"/>
      <c r="FN186" s="6"/>
      <c r="FO186" s="6"/>
      <c r="FP186" s="6"/>
      <c r="FQ186" s="6"/>
      <c r="FR186" s="6"/>
      <c r="FS186" s="6"/>
      <c r="FT186" s="6"/>
      <c r="FU186" s="6"/>
      <c r="FV186" s="6"/>
      <c r="FW186" s="6"/>
      <c r="FX186" s="6"/>
      <c r="FY186" s="6"/>
      <c r="FZ186" s="6"/>
      <c r="GA186" s="6"/>
      <c r="GB186" s="6"/>
      <c r="GC186" s="6"/>
      <c r="GD186" s="6"/>
      <c r="GE186" s="6"/>
      <c r="GF186" s="6"/>
      <c r="GG186" s="6"/>
      <c r="GH186" s="6"/>
      <c r="GI186" s="6"/>
      <c r="GJ186" s="6"/>
      <c r="GK186" s="6"/>
      <c r="GL186" s="6"/>
    </row>
    <row r="187" spans="1:194" x14ac:dyDescent="0.25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AH187" s="67"/>
      <c r="AI187" s="67"/>
      <c r="AJ187" s="67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  <c r="BI187" s="67"/>
      <c r="BJ187" s="67"/>
      <c r="BK187" s="67"/>
      <c r="BL187" s="67"/>
      <c r="BM187" s="67"/>
      <c r="BN187" s="67"/>
      <c r="BO187" s="67"/>
      <c r="BP187" s="67"/>
      <c r="BQ187" s="67"/>
      <c r="BR187" s="67"/>
      <c r="BS187" s="67"/>
      <c r="BT187" s="67"/>
      <c r="BU187" s="67"/>
      <c r="BV187" s="67"/>
      <c r="BW187" s="67"/>
      <c r="BX187" s="67"/>
      <c r="BY187" s="67"/>
      <c r="BZ187" s="67"/>
      <c r="CA187" s="67"/>
      <c r="CB187" s="67"/>
      <c r="CC187" s="67"/>
      <c r="CD187" s="67"/>
      <c r="CE187" s="67"/>
      <c r="CF187" s="67"/>
      <c r="CG187" s="67"/>
      <c r="CH187" s="67"/>
      <c r="CI187" s="67"/>
      <c r="CJ187" s="67"/>
      <c r="CK187" s="67"/>
      <c r="CL187" s="67"/>
      <c r="CM187" s="67"/>
      <c r="CN187" s="67"/>
      <c r="CO187" s="67"/>
      <c r="CP187" s="67"/>
      <c r="CQ187" s="67"/>
      <c r="CR187" s="67"/>
      <c r="CS187" s="67"/>
      <c r="CT187" s="67"/>
      <c r="CU187" s="67"/>
      <c r="CV187" s="67"/>
      <c r="CW187" s="67"/>
      <c r="CX187" s="67"/>
      <c r="CY187" s="67"/>
      <c r="CZ187" s="67"/>
      <c r="DA187" s="67"/>
      <c r="DB187" s="67"/>
      <c r="DC187" s="67"/>
      <c r="DD187" s="67"/>
      <c r="DE187" s="67"/>
      <c r="DF187" s="67"/>
      <c r="DG187" s="67"/>
      <c r="DH187" s="67"/>
      <c r="DI187" s="67"/>
      <c r="DJ187" s="67"/>
      <c r="DK187" s="67"/>
      <c r="DL187" s="67"/>
      <c r="DM187" s="67"/>
      <c r="DN187" s="67"/>
      <c r="DO187" s="67"/>
      <c r="DP187" s="67"/>
      <c r="DQ187" s="67"/>
      <c r="DR187" s="67"/>
      <c r="DS187" s="67"/>
      <c r="DT187" s="67"/>
      <c r="DU187" s="67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  <c r="ER187" s="6"/>
      <c r="ES187" s="6"/>
      <c r="ET187" s="6"/>
      <c r="EU187" s="6"/>
      <c r="EV187" s="6"/>
      <c r="EW187" s="6"/>
      <c r="EX187" s="6"/>
      <c r="EY187" s="6"/>
      <c r="EZ187" s="6"/>
      <c r="FA187" s="6"/>
      <c r="FB187" s="6"/>
      <c r="FC187" s="6"/>
      <c r="FD187" s="6"/>
      <c r="FE187" s="6"/>
      <c r="FF187" s="6"/>
      <c r="FG187" s="6"/>
      <c r="FH187" s="6"/>
      <c r="FI187" s="6"/>
      <c r="FJ187" s="6"/>
      <c r="FK187" s="6"/>
      <c r="FL187" s="6"/>
      <c r="FM187" s="6"/>
      <c r="FN187" s="6"/>
      <c r="FO187" s="6"/>
      <c r="FP187" s="6"/>
      <c r="FQ187" s="6"/>
      <c r="FR187" s="6"/>
      <c r="FS187" s="6"/>
      <c r="FT187" s="6"/>
      <c r="FU187" s="6"/>
      <c r="FV187" s="6"/>
      <c r="FW187" s="6"/>
      <c r="FX187" s="6"/>
      <c r="FY187" s="6"/>
      <c r="FZ187" s="6"/>
      <c r="GA187" s="6"/>
      <c r="GB187" s="6"/>
      <c r="GC187" s="6"/>
      <c r="GD187" s="6"/>
      <c r="GE187" s="6"/>
      <c r="GF187" s="6"/>
      <c r="GG187" s="6"/>
      <c r="GH187" s="6"/>
      <c r="GI187" s="6"/>
      <c r="GJ187" s="6"/>
      <c r="GK187" s="6"/>
      <c r="GL187" s="6"/>
    </row>
    <row r="188" spans="1:194" x14ac:dyDescent="0.25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  <c r="AF188" s="67"/>
      <c r="AG188" s="67"/>
      <c r="AH188" s="67"/>
      <c r="AI188" s="67"/>
      <c r="AJ188" s="67"/>
      <c r="AK188" s="67"/>
      <c r="AL188" s="67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  <c r="BB188" s="67"/>
      <c r="BC188" s="67"/>
      <c r="BD188" s="67"/>
      <c r="BE188" s="67"/>
      <c r="BF188" s="67"/>
      <c r="BG188" s="67"/>
      <c r="BH188" s="67"/>
      <c r="BI188" s="67"/>
      <c r="BJ188" s="67"/>
      <c r="BK188" s="67"/>
      <c r="BL188" s="67"/>
      <c r="BM188" s="67"/>
      <c r="BN188" s="67"/>
      <c r="BO188" s="67"/>
      <c r="BP188" s="67"/>
      <c r="BQ188" s="67"/>
      <c r="BR188" s="67"/>
      <c r="BS188" s="67"/>
      <c r="BT188" s="67"/>
      <c r="BU188" s="67"/>
      <c r="BV188" s="67"/>
      <c r="BW188" s="67"/>
      <c r="BX188" s="67"/>
      <c r="BY188" s="67"/>
      <c r="BZ188" s="67"/>
      <c r="CA188" s="67"/>
      <c r="CB188" s="67"/>
      <c r="CC188" s="67"/>
      <c r="CD188" s="67"/>
      <c r="CE188" s="67"/>
      <c r="CF188" s="67"/>
      <c r="CG188" s="67"/>
      <c r="CH188" s="67"/>
      <c r="CI188" s="67"/>
      <c r="CJ188" s="67"/>
      <c r="CK188" s="67"/>
      <c r="CL188" s="67"/>
      <c r="CM188" s="67"/>
      <c r="CN188" s="67"/>
      <c r="CO188" s="67"/>
      <c r="CP188" s="67"/>
      <c r="CQ188" s="67"/>
      <c r="CR188" s="67"/>
      <c r="CS188" s="67"/>
      <c r="CT188" s="67"/>
      <c r="CU188" s="67"/>
      <c r="CV188" s="67"/>
      <c r="CW188" s="67"/>
      <c r="CX188" s="67"/>
      <c r="CY188" s="67"/>
      <c r="CZ188" s="67"/>
      <c r="DA188" s="67"/>
      <c r="DB188" s="67"/>
      <c r="DC188" s="67"/>
      <c r="DD188" s="67"/>
      <c r="DE188" s="67"/>
      <c r="DF188" s="67"/>
      <c r="DG188" s="67"/>
      <c r="DH188" s="67"/>
      <c r="DI188" s="67"/>
      <c r="DJ188" s="67"/>
      <c r="DK188" s="67"/>
      <c r="DL188" s="67"/>
      <c r="DM188" s="67"/>
      <c r="DN188" s="67"/>
      <c r="DO188" s="67"/>
      <c r="DP188" s="67"/>
      <c r="DQ188" s="67"/>
      <c r="DR188" s="67"/>
      <c r="DS188" s="67"/>
      <c r="DT188" s="67"/>
      <c r="DU188" s="67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  <c r="ER188" s="6"/>
      <c r="ES188" s="6"/>
      <c r="ET188" s="6"/>
      <c r="EU188" s="6"/>
      <c r="EV188" s="6"/>
      <c r="EW188" s="6"/>
      <c r="EX188" s="6"/>
      <c r="EY188" s="6"/>
      <c r="EZ188" s="6"/>
      <c r="FA188" s="6"/>
      <c r="FB188" s="6"/>
      <c r="FC188" s="6"/>
      <c r="FD188" s="6"/>
      <c r="FE188" s="6"/>
      <c r="FF188" s="6"/>
      <c r="FG188" s="6"/>
      <c r="FH188" s="6"/>
      <c r="FI188" s="6"/>
      <c r="FJ188" s="6"/>
      <c r="FK188" s="6"/>
      <c r="FL188" s="6"/>
      <c r="FM188" s="6"/>
      <c r="FN188" s="6"/>
      <c r="FO188" s="6"/>
      <c r="FP188" s="6"/>
      <c r="FQ188" s="6"/>
      <c r="FR188" s="6"/>
      <c r="FS188" s="6"/>
      <c r="FT188" s="6"/>
      <c r="FU188" s="6"/>
      <c r="FV188" s="6"/>
      <c r="FW188" s="6"/>
      <c r="FX188" s="6"/>
      <c r="FY188" s="6"/>
      <c r="FZ188" s="6"/>
      <c r="GA188" s="6"/>
      <c r="GB188" s="6"/>
      <c r="GC188" s="6"/>
      <c r="GD188" s="6"/>
      <c r="GE188" s="6"/>
      <c r="GF188" s="6"/>
      <c r="GG188" s="6"/>
      <c r="GH188" s="6"/>
      <c r="GI188" s="6"/>
      <c r="GJ188" s="6"/>
      <c r="GK188" s="6"/>
      <c r="GL188" s="6"/>
    </row>
    <row r="189" spans="1:194" x14ac:dyDescent="0.25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AH189" s="67"/>
      <c r="AI189" s="67"/>
      <c r="AJ189" s="67"/>
      <c r="AK189" s="67"/>
      <c r="AL189" s="67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  <c r="BB189" s="67"/>
      <c r="BC189" s="67"/>
      <c r="BD189" s="67"/>
      <c r="BE189" s="67"/>
      <c r="BF189" s="67"/>
      <c r="BG189" s="67"/>
      <c r="BH189" s="67"/>
      <c r="BI189" s="67"/>
      <c r="BJ189" s="67"/>
      <c r="BK189" s="67"/>
      <c r="BL189" s="67"/>
      <c r="BM189" s="67"/>
      <c r="BN189" s="67"/>
      <c r="BO189" s="67"/>
      <c r="BP189" s="67"/>
      <c r="BQ189" s="67"/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/>
      <c r="CD189" s="67"/>
      <c r="CE189" s="67"/>
      <c r="CF189" s="67"/>
      <c r="CG189" s="67"/>
      <c r="CH189" s="67"/>
      <c r="CI189" s="67"/>
      <c r="CJ189" s="67"/>
      <c r="CK189" s="67"/>
      <c r="CL189" s="67"/>
      <c r="CM189" s="67"/>
      <c r="CN189" s="67"/>
      <c r="CO189" s="67"/>
      <c r="CP189" s="67"/>
      <c r="CQ189" s="67"/>
      <c r="CR189" s="67"/>
      <c r="CS189" s="67"/>
      <c r="CT189" s="67"/>
      <c r="CU189" s="67"/>
      <c r="CV189" s="67"/>
      <c r="CW189" s="67"/>
      <c r="CX189" s="67"/>
      <c r="CY189" s="67"/>
      <c r="CZ189" s="67"/>
      <c r="DA189" s="67"/>
      <c r="DB189" s="67"/>
      <c r="DC189" s="67"/>
      <c r="DD189" s="67"/>
      <c r="DE189" s="67"/>
      <c r="DF189" s="67"/>
      <c r="DG189" s="67"/>
      <c r="DH189" s="67"/>
      <c r="DI189" s="67"/>
      <c r="DJ189" s="67"/>
      <c r="DK189" s="67"/>
      <c r="DL189" s="67"/>
      <c r="DM189" s="67"/>
      <c r="DN189" s="67"/>
      <c r="DO189" s="67"/>
      <c r="DP189" s="67"/>
      <c r="DQ189" s="67"/>
      <c r="DR189" s="67"/>
      <c r="DS189" s="67"/>
      <c r="DT189" s="67"/>
      <c r="DU189" s="67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  <c r="ER189" s="6"/>
      <c r="ES189" s="6"/>
      <c r="ET189" s="6"/>
      <c r="EU189" s="6"/>
      <c r="EV189" s="6"/>
      <c r="EW189" s="6"/>
      <c r="EX189" s="6"/>
      <c r="EY189" s="6"/>
      <c r="EZ189" s="6"/>
      <c r="FA189" s="6"/>
      <c r="FB189" s="6"/>
      <c r="FC189" s="6"/>
      <c r="FD189" s="6"/>
      <c r="FE189" s="6"/>
      <c r="FF189" s="6"/>
      <c r="FG189" s="6"/>
      <c r="FH189" s="6"/>
      <c r="FI189" s="6"/>
      <c r="FJ189" s="6"/>
      <c r="FK189" s="6"/>
      <c r="FL189" s="6"/>
      <c r="FM189" s="6"/>
      <c r="FN189" s="6"/>
      <c r="FO189" s="6"/>
      <c r="FP189" s="6"/>
      <c r="FQ189" s="6"/>
      <c r="FR189" s="6"/>
      <c r="FS189" s="6"/>
      <c r="FT189" s="6"/>
      <c r="FU189" s="6"/>
      <c r="FV189" s="6"/>
      <c r="FW189" s="6"/>
      <c r="FX189" s="6"/>
      <c r="FY189" s="6"/>
      <c r="FZ189" s="6"/>
      <c r="GA189" s="6"/>
      <c r="GB189" s="6"/>
      <c r="GC189" s="6"/>
      <c r="GD189" s="6"/>
      <c r="GE189" s="6"/>
      <c r="GF189" s="6"/>
      <c r="GG189" s="6"/>
      <c r="GH189" s="6"/>
      <c r="GI189" s="6"/>
      <c r="GJ189" s="6"/>
      <c r="GK189" s="6"/>
      <c r="GL189" s="6"/>
    </row>
    <row r="190" spans="1:194" x14ac:dyDescent="0.25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AH190" s="67"/>
      <c r="AI190" s="67"/>
      <c r="AJ190" s="67"/>
      <c r="AK190" s="67"/>
      <c r="AL190" s="67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  <c r="BI190" s="67"/>
      <c r="BJ190" s="67"/>
      <c r="BK190" s="67"/>
      <c r="BL190" s="67"/>
      <c r="BM190" s="67"/>
      <c r="BN190" s="67"/>
      <c r="BO190" s="67"/>
      <c r="BP190" s="67"/>
      <c r="BQ190" s="67"/>
      <c r="BR190" s="67"/>
      <c r="BS190" s="67"/>
      <c r="BT190" s="67"/>
      <c r="BU190" s="67"/>
      <c r="BV190" s="67"/>
      <c r="BW190" s="67"/>
      <c r="BX190" s="67"/>
      <c r="BY190" s="67"/>
      <c r="BZ190" s="67"/>
      <c r="CA190" s="67"/>
      <c r="CB190" s="67"/>
      <c r="CC190" s="67"/>
      <c r="CD190" s="67"/>
      <c r="CE190" s="67"/>
      <c r="CF190" s="67"/>
      <c r="CG190" s="67"/>
      <c r="CH190" s="67"/>
      <c r="CI190" s="67"/>
      <c r="CJ190" s="67"/>
      <c r="CK190" s="67"/>
      <c r="CL190" s="67"/>
      <c r="CM190" s="67"/>
      <c r="CN190" s="67"/>
      <c r="CO190" s="67"/>
      <c r="CP190" s="67"/>
      <c r="CQ190" s="67"/>
      <c r="CR190" s="67"/>
      <c r="CS190" s="67"/>
      <c r="CT190" s="67"/>
      <c r="CU190" s="67"/>
      <c r="CV190" s="67"/>
      <c r="CW190" s="67"/>
      <c r="CX190" s="67"/>
      <c r="CY190" s="67"/>
      <c r="CZ190" s="67"/>
      <c r="DA190" s="67"/>
      <c r="DB190" s="67"/>
      <c r="DC190" s="67"/>
      <c r="DD190" s="67"/>
      <c r="DE190" s="67"/>
      <c r="DF190" s="67"/>
      <c r="DG190" s="67"/>
      <c r="DH190" s="67"/>
      <c r="DI190" s="67"/>
      <c r="DJ190" s="67"/>
      <c r="DK190" s="67"/>
      <c r="DL190" s="67"/>
      <c r="DM190" s="67"/>
      <c r="DN190" s="67"/>
      <c r="DO190" s="67"/>
      <c r="DP190" s="67"/>
      <c r="DQ190" s="67"/>
      <c r="DR190" s="67"/>
      <c r="DS190" s="67"/>
      <c r="DT190" s="67"/>
      <c r="DU190" s="67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  <c r="ER190" s="6"/>
      <c r="ES190" s="6"/>
      <c r="ET190" s="6"/>
      <c r="EU190" s="6"/>
      <c r="EV190" s="6"/>
      <c r="EW190" s="6"/>
      <c r="EX190" s="6"/>
      <c r="EY190" s="6"/>
      <c r="EZ190" s="6"/>
      <c r="FA190" s="6"/>
      <c r="FB190" s="6"/>
      <c r="FC190" s="6"/>
      <c r="FD190" s="6"/>
      <c r="FE190" s="6"/>
      <c r="FF190" s="6"/>
      <c r="FG190" s="6"/>
      <c r="FH190" s="6"/>
      <c r="FI190" s="6"/>
      <c r="FJ190" s="6"/>
      <c r="FK190" s="6"/>
      <c r="FL190" s="6"/>
      <c r="FM190" s="6"/>
      <c r="FN190" s="6"/>
      <c r="FO190" s="6"/>
      <c r="FP190" s="6"/>
      <c r="FQ190" s="6"/>
      <c r="FR190" s="6"/>
      <c r="FS190" s="6"/>
      <c r="FT190" s="6"/>
      <c r="FU190" s="6"/>
      <c r="FV190" s="6"/>
      <c r="FW190" s="6"/>
      <c r="FX190" s="6"/>
      <c r="FY190" s="6"/>
      <c r="FZ190" s="6"/>
      <c r="GA190" s="6"/>
      <c r="GB190" s="6"/>
      <c r="GC190" s="6"/>
      <c r="GD190" s="6"/>
      <c r="GE190" s="6"/>
      <c r="GF190" s="6"/>
      <c r="GG190" s="6"/>
      <c r="GH190" s="6"/>
      <c r="GI190" s="6"/>
      <c r="GJ190" s="6"/>
      <c r="GK190" s="6"/>
      <c r="GL190" s="6"/>
    </row>
    <row r="191" spans="1:194" x14ac:dyDescent="0.25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  <c r="AF191" s="67"/>
      <c r="AG191" s="67"/>
      <c r="AH191" s="67"/>
      <c r="AI191" s="67"/>
      <c r="AJ191" s="67"/>
      <c r="AK191" s="67"/>
      <c r="AL191" s="67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  <c r="BI191" s="67"/>
      <c r="BJ191" s="67"/>
      <c r="BK191" s="67"/>
      <c r="BL191" s="67"/>
      <c r="BM191" s="67"/>
      <c r="BN191" s="67"/>
      <c r="BO191" s="67"/>
      <c r="BP191" s="67"/>
      <c r="BQ191" s="67"/>
      <c r="BR191" s="67"/>
      <c r="BS191" s="67"/>
      <c r="BT191" s="67"/>
      <c r="BU191" s="67"/>
      <c r="BV191" s="67"/>
      <c r="BW191" s="67"/>
      <c r="BX191" s="67"/>
      <c r="BY191" s="67"/>
      <c r="BZ191" s="67"/>
      <c r="CA191" s="67"/>
      <c r="CB191" s="67"/>
      <c r="CC191" s="67"/>
      <c r="CD191" s="67"/>
      <c r="CE191" s="67"/>
      <c r="CF191" s="67"/>
      <c r="CG191" s="67"/>
      <c r="CH191" s="67"/>
      <c r="CI191" s="67"/>
      <c r="CJ191" s="67"/>
      <c r="CK191" s="67"/>
      <c r="CL191" s="67"/>
      <c r="CM191" s="67"/>
      <c r="CN191" s="67"/>
      <c r="CO191" s="67"/>
      <c r="CP191" s="67"/>
      <c r="CQ191" s="67"/>
      <c r="CR191" s="67"/>
      <c r="CS191" s="67"/>
      <c r="CT191" s="67"/>
      <c r="CU191" s="67"/>
      <c r="CV191" s="67"/>
      <c r="CW191" s="67"/>
      <c r="CX191" s="67"/>
      <c r="CY191" s="67"/>
      <c r="CZ191" s="67"/>
      <c r="DA191" s="67"/>
      <c r="DB191" s="67"/>
      <c r="DC191" s="67"/>
      <c r="DD191" s="67"/>
      <c r="DE191" s="67"/>
      <c r="DF191" s="67"/>
      <c r="DG191" s="67"/>
      <c r="DH191" s="67"/>
      <c r="DI191" s="67"/>
      <c r="DJ191" s="67"/>
      <c r="DK191" s="67"/>
      <c r="DL191" s="67"/>
      <c r="DM191" s="67"/>
      <c r="DN191" s="67"/>
      <c r="DO191" s="67"/>
      <c r="DP191" s="67"/>
      <c r="DQ191" s="67"/>
      <c r="DR191" s="67"/>
      <c r="DS191" s="67"/>
      <c r="DT191" s="67"/>
      <c r="DU191" s="67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  <c r="ER191" s="6"/>
      <c r="ES191" s="6"/>
      <c r="ET191" s="6"/>
      <c r="EU191" s="6"/>
      <c r="EV191" s="6"/>
      <c r="EW191" s="6"/>
      <c r="EX191" s="6"/>
      <c r="EY191" s="6"/>
      <c r="EZ191" s="6"/>
      <c r="FA191" s="6"/>
      <c r="FB191" s="6"/>
      <c r="FC191" s="6"/>
      <c r="FD191" s="6"/>
      <c r="FE191" s="6"/>
      <c r="FF191" s="6"/>
      <c r="FG191" s="6"/>
      <c r="FH191" s="6"/>
      <c r="FI191" s="6"/>
      <c r="FJ191" s="6"/>
      <c r="FK191" s="6"/>
      <c r="FL191" s="6"/>
      <c r="FM191" s="6"/>
      <c r="FN191" s="6"/>
      <c r="FO191" s="6"/>
      <c r="FP191" s="6"/>
      <c r="FQ191" s="6"/>
      <c r="FR191" s="6"/>
      <c r="FS191" s="6"/>
      <c r="FT191" s="6"/>
      <c r="FU191" s="6"/>
      <c r="FV191" s="6"/>
      <c r="FW191" s="6"/>
      <c r="FX191" s="6"/>
      <c r="FY191" s="6"/>
      <c r="FZ191" s="6"/>
      <c r="GA191" s="6"/>
      <c r="GB191" s="6"/>
      <c r="GC191" s="6"/>
      <c r="GD191" s="6"/>
      <c r="GE191" s="6"/>
      <c r="GF191" s="6"/>
      <c r="GG191" s="6"/>
      <c r="GH191" s="6"/>
      <c r="GI191" s="6"/>
      <c r="GJ191" s="6"/>
      <c r="GK191" s="6"/>
      <c r="GL191" s="6"/>
    </row>
    <row r="192" spans="1:194" x14ac:dyDescent="0.25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  <c r="AI192" s="67"/>
      <c r="AJ192" s="67"/>
      <c r="AK192" s="67"/>
      <c r="AL192" s="67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  <c r="BI192" s="67"/>
      <c r="BJ192" s="67"/>
      <c r="BK192" s="67"/>
      <c r="BL192" s="67"/>
      <c r="BM192" s="67"/>
      <c r="BN192" s="67"/>
      <c r="BO192" s="67"/>
      <c r="BP192" s="67"/>
      <c r="BQ192" s="67"/>
      <c r="BR192" s="67"/>
      <c r="BS192" s="67"/>
      <c r="BT192" s="67"/>
      <c r="BU192" s="67"/>
      <c r="BV192" s="67"/>
      <c r="BW192" s="67"/>
      <c r="BX192" s="67"/>
      <c r="BY192" s="67"/>
      <c r="BZ192" s="67"/>
      <c r="CA192" s="67"/>
      <c r="CB192" s="67"/>
      <c r="CC192" s="67"/>
      <c r="CD192" s="67"/>
      <c r="CE192" s="67"/>
      <c r="CF192" s="67"/>
      <c r="CG192" s="67"/>
      <c r="CH192" s="67"/>
      <c r="CI192" s="67"/>
      <c r="CJ192" s="67"/>
      <c r="CK192" s="67"/>
      <c r="CL192" s="67"/>
      <c r="CM192" s="67"/>
      <c r="CN192" s="67"/>
      <c r="CO192" s="67"/>
      <c r="CP192" s="67"/>
      <c r="CQ192" s="67"/>
      <c r="CR192" s="67"/>
      <c r="CS192" s="67"/>
      <c r="CT192" s="67"/>
      <c r="CU192" s="67"/>
      <c r="CV192" s="67"/>
      <c r="CW192" s="67"/>
      <c r="CX192" s="67"/>
      <c r="CY192" s="67"/>
      <c r="CZ192" s="67"/>
      <c r="DA192" s="67"/>
      <c r="DB192" s="67"/>
      <c r="DC192" s="67"/>
      <c r="DD192" s="67"/>
      <c r="DE192" s="67"/>
      <c r="DF192" s="67"/>
      <c r="DG192" s="67"/>
      <c r="DH192" s="67"/>
      <c r="DI192" s="67"/>
      <c r="DJ192" s="67"/>
      <c r="DK192" s="67"/>
      <c r="DL192" s="67"/>
      <c r="DM192" s="67"/>
      <c r="DN192" s="67"/>
      <c r="DO192" s="67"/>
      <c r="DP192" s="67"/>
      <c r="DQ192" s="67"/>
      <c r="DR192" s="67"/>
      <c r="DS192" s="67"/>
      <c r="DT192" s="67"/>
      <c r="DU192" s="67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  <c r="ER192" s="6"/>
      <c r="ES192" s="6"/>
      <c r="ET192" s="6"/>
      <c r="EU192" s="6"/>
      <c r="EV192" s="6"/>
      <c r="EW192" s="6"/>
      <c r="EX192" s="6"/>
      <c r="EY192" s="6"/>
      <c r="EZ192" s="6"/>
      <c r="FA192" s="6"/>
      <c r="FB192" s="6"/>
      <c r="FC192" s="6"/>
      <c r="FD192" s="6"/>
      <c r="FE192" s="6"/>
      <c r="FF192" s="6"/>
      <c r="FG192" s="6"/>
      <c r="FH192" s="6"/>
      <c r="FI192" s="6"/>
      <c r="FJ192" s="6"/>
      <c r="FK192" s="6"/>
      <c r="FL192" s="6"/>
      <c r="FM192" s="6"/>
      <c r="FN192" s="6"/>
      <c r="FO192" s="6"/>
      <c r="FP192" s="6"/>
      <c r="FQ192" s="6"/>
      <c r="FR192" s="6"/>
      <c r="FS192" s="6"/>
      <c r="FT192" s="6"/>
      <c r="FU192" s="6"/>
      <c r="FV192" s="6"/>
      <c r="FW192" s="6"/>
      <c r="FX192" s="6"/>
      <c r="FY192" s="6"/>
      <c r="FZ192" s="6"/>
      <c r="GA192" s="6"/>
      <c r="GB192" s="6"/>
      <c r="GC192" s="6"/>
      <c r="GD192" s="6"/>
      <c r="GE192" s="6"/>
      <c r="GF192" s="6"/>
      <c r="GG192" s="6"/>
      <c r="GH192" s="6"/>
      <c r="GI192" s="6"/>
      <c r="GJ192" s="6"/>
      <c r="GK192" s="6"/>
      <c r="GL192" s="6"/>
    </row>
    <row r="193" spans="1:194" x14ac:dyDescent="0.25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7"/>
      <c r="AG193" s="67"/>
      <c r="AH193" s="67"/>
      <c r="AI193" s="67"/>
      <c r="AJ193" s="67"/>
      <c r="AK193" s="67"/>
      <c r="AL193" s="67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  <c r="BI193" s="67"/>
      <c r="BJ193" s="67"/>
      <c r="BK193" s="67"/>
      <c r="BL193" s="67"/>
      <c r="BM193" s="67"/>
      <c r="BN193" s="67"/>
      <c r="BO193" s="67"/>
      <c r="BP193" s="67"/>
      <c r="BQ193" s="67"/>
      <c r="BR193" s="67"/>
      <c r="BS193" s="67"/>
      <c r="BT193" s="67"/>
      <c r="BU193" s="67"/>
      <c r="BV193" s="67"/>
      <c r="BW193" s="67"/>
      <c r="BX193" s="67"/>
      <c r="BY193" s="67"/>
      <c r="BZ193" s="67"/>
      <c r="CA193" s="67"/>
      <c r="CB193" s="67"/>
      <c r="CC193" s="67"/>
      <c r="CD193" s="67"/>
      <c r="CE193" s="67"/>
      <c r="CF193" s="67"/>
      <c r="CG193" s="67"/>
      <c r="CH193" s="67"/>
      <c r="CI193" s="67"/>
      <c r="CJ193" s="67"/>
      <c r="CK193" s="67"/>
      <c r="CL193" s="67"/>
      <c r="CM193" s="67"/>
      <c r="CN193" s="67"/>
      <c r="CO193" s="67"/>
      <c r="CP193" s="67"/>
      <c r="CQ193" s="67"/>
      <c r="CR193" s="67"/>
      <c r="CS193" s="67"/>
      <c r="CT193" s="67"/>
      <c r="CU193" s="67"/>
      <c r="CV193" s="67"/>
      <c r="CW193" s="67"/>
      <c r="CX193" s="67"/>
      <c r="CY193" s="67"/>
      <c r="CZ193" s="67"/>
      <c r="DA193" s="67"/>
      <c r="DB193" s="67"/>
      <c r="DC193" s="67"/>
      <c r="DD193" s="67"/>
      <c r="DE193" s="67"/>
      <c r="DF193" s="67"/>
      <c r="DG193" s="67"/>
      <c r="DH193" s="67"/>
      <c r="DI193" s="67"/>
      <c r="DJ193" s="67"/>
      <c r="DK193" s="67"/>
      <c r="DL193" s="67"/>
      <c r="DM193" s="67"/>
      <c r="DN193" s="67"/>
      <c r="DO193" s="67"/>
      <c r="DP193" s="67"/>
      <c r="DQ193" s="67"/>
      <c r="DR193" s="67"/>
      <c r="DS193" s="67"/>
      <c r="DT193" s="67"/>
      <c r="DU193" s="67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  <c r="ER193" s="6"/>
      <c r="ES193" s="6"/>
      <c r="ET193" s="6"/>
      <c r="EU193" s="6"/>
      <c r="EV193" s="6"/>
      <c r="EW193" s="6"/>
      <c r="EX193" s="6"/>
      <c r="EY193" s="6"/>
      <c r="EZ193" s="6"/>
      <c r="FA193" s="6"/>
      <c r="FB193" s="6"/>
      <c r="FC193" s="6"/>
      <c r="FD193" s="6"/>
      <c r="FE193" s="6"/>
      <c r="FF193" s="6"/>
      <c r="FG193" s="6"/>
      <c r="FH193" s="6"/>
      <c r="FI193" s="6"/>
      <c r="FJ193" s="6"/>
      <c r="FK193" s="6"/>
      <c r="FL193" s="6"/>
      <c r="FM193" s="6"/>
      <c r="FN193" s="6"/>
      <c r="FO193" s="6"/>
      <c r="FP193" s="6"/>
      <c r="FQ193" s="6"/>
      <c r="FR193" s="6"/>
      <c r="FS193" s="6"/>
      <c r="FT193" s="6"/>
      <c r="FU193" s="6"/>
      <c r="FV193" s="6"/>
      <c r="FW193" s="6"/>
      <c r="FX193" s="6"/>
      <c r="FY193" s="6"/>
      <c r="FZ193" s="6"/>
      <c r="GA193" s="6"/>
      <c r="GB193" s="6"/>
      <c r="GC193" s="6"/>
      <c r="GD193" s="6"/>
      <c r="GE193" s="6"/>
      <c r="GF193" s="6"/>
      <c r="GG193" s="6"/>
      <c r="GH193" s="6"/>
      <c r="GI193" s="6"/>
      <c r="GJ193" s="6"/>
      <c r="GK193" s="6"/>
      <c r="GL193" s="6"/>
    </row>
    <row r="194" spans="1:194" x14ac:dyDescent="0.25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AG194" s="67"/>
      <c r="AH194" s="67"/>
      <c r="AI194" s="67"/>
      <c r="AJ194" s="67"/>
      <c r="AK194" s="67"/>
      <c r="AL194" s="67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  <c r="BI194" s="67"/>
      <c r="BJ194" s="67"/>
      <c r="BK194" s="67"/>
      <c r="BL194" s="67"/>
      <c r="BM194" s="67"/>
      <c r="BN194" s="67"/>
      <c r="BO194" s="67"/>
      <c r="BP194" s="67"/>
      <c r="BQ194" s="67"/>
      <c r="BR194" s="67"/>
      <c r="BS194" s="67"/>
      <c r="BT194" s="67"/>
      <c r="BU194" s="67"/>
      <c r="BV194" s="67"/>
      <c r="BW194" s="67"/>
      <c r="BX194" s="67"/>
      <c r="BY194" s="67"/>
      <c r="BZ194" s="67"/>
      <c r="CA194" s="67"/>
      <c r="CB194" s="67"/>
      <c r="CC194" s="67"/>
      <c r="CD194" s="67"/>
      <c r="CE194" s="67"/>
      <c r="CF194" s="67"/>
      <c r="CG194" s="67"/>
      <c r="CH194" s="67"/>
      <c r="CI194" s="67"/>
      <c r="CJ194" s="67"/>
      <c r="CK194" s="67"/>
      <c r="CL194" s="67"/>
      <c r="CM194" s="67"/>
      <c r="CN194" s="67"/>
      <c r="CO194" s="67"/>
      <c r="CP194" s="67"/>
      <c r="CQ194" s="67"/>
      <c r="CR194" s="67"/>
      <c r="CS194" s="67"/>
      <c r="CT194" s="67"/>
      <c r="CU194" s="67"/>
      <c r="CV194" s="67"/>
      <c r="CW194" s="67"/>
      <c r="CX194" s="67"/>
      <c r="CY194" s="67"/>
      <c r="CZ194" s="67"/>
      <c r="DA194" s="67"/>
      <c r="DB194" s="67"/>
      <c r="DC194" s="67"/>
      <c r="DD194" s="67"/>
      <c r="DE194" s="67"/>
      <c r="DF194" s="67"/>
      <c r="DG194" s="67"/>
      <c r="DH194" s="67"/>
      <c r="DI194" s="67"/>
      <c r="DJ194" s="67"/>
      <c r="DK194" s="67"/>
      <c r="DL194" s="67"/>
      <c r="DM194" s="67"/>
      <c r="DN194" s="67"/>
      <c r="DO194" s="67"/>
      <c r="DP194" s="67"/>
      <c r="DQ194" s="67"/>
      <c r="DR194" s="67"/>
      <c r="DS194" s="67"/>
      <c r="DT194" s="67"/>
      <c r="DU194" s="67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  <c r="ER194" s="6"/>
      <c r="ES194" s="6"/>
      <c r="ET194" s="6"/>
      <c r="EU194" s="6"/>
      <c r="EV194" s="6"/>
      <c r="EW194" s="6"/>
      <c r="EX194" s="6"/>
      <c r="EY194" s="6"/>
      <c r="EZ194" s="6"/>
      <c r="FA194" s="6"/>
      <c r="FB194" s="6"/>
      <c r="FC194" s="6"/>
      <c r="FD194" s="6"/>
      <c r="FE194" s="6"/>
      <c r="FF194" s="6"/>
      <c r="FG194" s="6"/>
      <c r="FH194" s="6"/>
      <c r="FI194" s="6"/>
      <c r="FJ194" s="6"/>
      <c r="FK194" s="6"/>
      <c r="FL194" s="6"/>
      <c r="FM194" s="6"/>
      <c r="FN194" s="6"/>
      <c r="FO194" s="6"/>
      <c r="FP194" s="6"/>
      <c r="FQ194" s="6"/>
      <c r="FR194" s="6"/>
      <c r="FS194" s="6"/>
      <c r="FT194" s="6"/>
      <c r="FU194" s="6"/>
      <c r="FV194" s="6"/>
      <c r="FW194" s="6"/>
      <c r="FX194" s="6"/>
      <c r="FY194" s="6"/>
      <c r="FZ194" s="6"/>
      <c r="GA194" s="6"/>
      <c r="GB194" s="6"/>
      <c r="GC194" s="6"/>
      <c r="GD194" s="6"/>
      <c r="GE194" s="6"/>
      <c r="GF194" s="6"/>
      <c r="GG194" s="6"/>
      <c r="GH194" s="6"/>
      <c r="GI194" s="6"/>
      <c r="GJ194" s="6"/>
      <c r="GK194" s="6"/>
      <c r="GL194" s="6"/>
    </row>
    <row r="195" spans="1:194" x14ac:dyDescent="0.25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AG195" s="67"/>
      <c r="AH195" s="67"/>
      <c r="AI195" s="67"/>
      <c r="AJ195" s="67"/>
      <c r="AK195" s="67"/>
      <c r="AL195" s="67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  <c r="BI195" s="67"/>
      <c r="BJ195" s="67"/>
      <c r="BK195" s="67"/>
      <c r="BL195" s="67"/>
      <c r="BM195" s="67"/>
      <c r="BN195" s="67"/>
      <c r="BO195" s="67"/>
      <c r="BP195" s="67"/>
      <c r="BQ195" s="67"/>
      <c r="BR195" s="67"/>
      <c r="BS195" s="67"/>
      <c r="BT195" s="67"/>
      <c r="BU195" s="67"/>
      <c r="BV195" s="67"/>
      <c r="BW195" s="67"/>
      <c r="BX195" s="67"/>
      <c r="BY195" s="67"/>
      <c r="BZ195" s="67"/>
      <c r="CA195" s="67"/>
      <c r="CB195" s="67"/>
      <c r="CC195" s="67"/>
      <c r="CD195" s="67"/>
      <c r="CE195" s="67"/>
      <c r="CF195" s="67"/>
      <c r="CG195" s="67"/>
      <c r="CH195" s="67"/>
      <c r="CI195" s="67"/>
      <c r="CJ195" s="67"/>
      <c r="CK195" s="67"/>
      <c r="CL195" s="67"/>
      <c r="CM195" s="67"/>
      <c r="CN195" s="67"/>
      <c r="CO195" s="67"/>
      <c r="CP195" s="67"/>
      <c r="CQ195" s="67"/>
      <c r="CR195" s="67"/>
      <c r="CS195" s="67"/>
      <c r="CT195" s="67"/>
      <c r="CU195" s="67"/>
      <c r="CV195" s="67"/>
      <c r="CW195" s="67"/>
      <c r="CX195" s="67"/>
      <c r="CY195" s="67"/>
      <c r="CZ195" s="67"/>
      <c r="DA195" s="67"/>
      <c r="DB195" s="67"/>
      <c r="DC195" s="67"/>
      <c r="DD195" s="67"/>
      <c r="DE195" s="67"/>
      <c r="DF195" s="67"/>
      <c r="DG195" s="67"/>
      <c r="DH195" s="67"/>
      <c r="DI195" s="67"/>
      <c r="DJ195" s="67"/>
      <c r="DK195" s="67"/>
      <c r="DL195" s="67"/>
      <c r="DM195" s="67"/>
      <c r="DN195" s="67"/>
      <c r="DO195" s="67"/>
      <c r="DP195" s="67"/>
      <c r="DQ195" s="67"/>
      <c r="DR195" s="67"/>
      <c r="DS195" s="67"/>
      <c r="DT195" s="67"/>
      <c r="DU195" s="67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  <c r="ER195" s="6"/>
      <c r="ES195" s="6"/>
      <c r="ET195" s="6"/>
      <c r="EU195" s="6"/>
      <c r="EV195" s="6"/>
      <c r="EW195" s="6"/>
      <c r="EX195" s="6"/>
      <c r="EY195" s="6"/>
      <c r="EZ195" s="6"/>
      <c r="FA195" s="6"/>
      <c r="FB195" s="6"/>
      <c r="FC195" s="6"/>
      <c r="FD195" s="6"/>
      <c r="FE195" s="6"/>
      <c r="FF195" s="6"/>
      <c r="FG195" s="6"/>
      <c r="FH195" s="6"/>
      <c r="FI195" s="6"/>
      <c r="FJ195" s="6"/>
      <c r="FK195" s="6"/>
      <c r="FL195" s="6"/>
      <c r="FM195" s="6"/>
      <c r="FN195" s="6"/>
      <c r="FO195" s="6"/>
      <c r="FP195" s="6"/>
      <c r="FQ195" s="6"/>
      <c r="FR195" s="6"/>
      <c r="FS195" s="6"/>
      <c r="FT195" s="6"/>
      <c r="FU195" s="6"/>
      <c r="FV195" s="6"/>
      <c r="FW195" s="6"/>
      <c r="FX195" s="6"/>
      <c r="FY195" s="6"/>
      <c r="FZ195" s="6"/>
      <c r="GA195" s="6"/>
      <c r="GB195" s="6"/>
      <c r="GC195" s="6"/>
      <c r="GD195" s="6"/>
      <c r="GE195" s="6"/>
      <c r="GF195" s="6"/>
      <c r="GG195" s="6"/>
      <c r="GH195" s="6"/>
      <c r="GI195" s="6"/>
      <c r="GJ195" s="6"/>
      <c r="GK195" s="6"/>
      <c r="GL195" s="6"/>
    </row>
    <row r="196" spans="1:194" x14ac:dyDescent="0.25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  <c r="AF196" s="67"/>
      <c r="AG196" s="67"/>
      <c r="AH196" s="67"/>
      <c r="AI196" s="67"/>
      <c r="AJ196" s="67"/>
      <c r="AK196" s="67"/>
      <c r="AL196" s="67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  <c r="BI196" s="67"/>
      <c r="BJ196" s="67"/>
      <c r="BK196" s="67"/>
      <c r="BL196" s="67"/>
      <c r="BM196" s="67"/>
      <c r="BN196" s="67"/>
      <c r="BO196" s="67"/>
      <c r="BP196" s="67"/>
      <c r="BQ196" s="67"/>
      <c r="BR196" s="67"/>
      <c r="BS196" s="67"/>
      <c r="BT196" s="67"/>
      <c r="BU196" s="67"/>
      <c r="BV196" s="67"/>
      <c r="BW196" s="67"/>
      <c r="BX196" s="67"/>
      <c r="BY196" s="67"/>
      <c r="BZ196" s="67"/>
      <c r="CA196" s="67"/>
      <c r="CB196" s="67"/>
      <c r="CC196" s="67"/>
      <c r="CD196" s="67"/>
      <c r="CE196" s="67"/>
      <c r="CF196" s="67"/>
      <c r="CG196" s="67"/>
      <c r="CH196" s="67"/>
      <c r="CI196" s="67"/>
      <c r="CJ196" s="67"/>
      <c r="CK196" s="67"/>
      <c r="CL196" s="67"/>
      <c r="CM196" s="67"/>
      <c r="CN196" s="67"/>
      <c r="CO196" s="67"/>
      <c r="CP196" s="67"/>
      <c r="CQ196" s="67"/>
      <c r="CR196" s="67"/>
      <c r="CS196" s="67"/>
      <c r="CT196" s="67"/>
      <c r="CU196" s="67"/>
      <c r="CV196" s="67"/>
      <c r="CW196" s="67"/>
      <c r="CX196" s="67"/>
      <c r="CY196" s="67"/>
      <c r="CZ196" s="67"/>
      <c r="DA196" s="67"/>
      <c r="DB196" s="67"/>
      <c r="DC196" s="67"/>
      <c r="DD196" s="67"/>
      <c r="DE196" s="67"/>
      <c r="DF196" s="67"/>
      <c r="DG196" s="67"/>
      <c r="DH196" s="67"/>
      <c r="DI196" s="67"/>
      <c r="DJ196" s="67"/>
      <c r="DK196" s="67"/>
      <c r="DL196" s="67"/>
      <c r="DM196" s="67"/>
      <c r="DN196" s="67"/>
      <c r="DO196" s="67"/>
      <c r="DP196" s="67"/>
      <c r="DQ196" s="67"/>
      <c r="DR196" s="67"/>
      <c r="DS196" s="67"/>
      <c r="DT196" s="67"/>
      <c r="DU196" s="67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  <c r="ER196" s="6"/>
      <c r="ES196" s="6"/>
      <c r="ET196" s="6"/>
      <c r="EU196" s="6"/>
      <c r="EV196" s="6"/>
      <c r="EW196" s="6"/>
      <c r="EX196" s="6"/>
      <c r="EY196" s="6"/>
      <c r="EZ196" s="6"/>
      <c r="FA196" s="6"/>
      <c r="FB196" s="6"/>
      <c r="FC196" s="6"/>
      <c r="FD196" s="6"/>
      <c r="FE196" s="6"/>
      <c r="FF196" s="6"/>
      <c r="FG196" s="6"/>
      <c r="FH196" s="6"/>
      <c r="FI196" s="6"/>
      <c r="FJ196" s="6"/>
      <c r="FK196" s="6"/>
      <c r="FL196" s="6"/>
      <c r="FM196" s="6"/>
      <c r="FN196" s="6"/>
      <c r="FO196" s="6"/>
      <c r="FP196" s="6"/>
      <c r="FQ196" s="6"/>
      <c r="FR196" s="6"/>
      <c r="FS196" s="6"/>
      <c r="FT196" s="6"/>
      <c r="FU196" s="6"/>
      <c r="FV196" s="6"/>
      <c r="FW196" s="6"/>
      <c r="FX196" s="6"/>
      <c r="FY196" s="6"/>
      <c r="FZ196" s="6"/>
      <c r="GA196" s="6"/>
      <c r="GB196" s="6"/>
      <c r="GC196" s="6"/>
      <c r="GD196" s="6"/>
      <c r="GE196" s="6"/>
      <c r="GF196" s="6"/>
      <c r="GG196" s="6"/>
      <c r="GH196" s="6"/>
      <c r="GI196" s="6"/>
      <c r="GJ196" s="6"/>
      <c r="GK196" s="6"/>
      <c r="GL196" s="6"/>
    </row>
    <row r="197" spans="1:194" x14ac:dyDescent="0.25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AG197" s="67"/>
      <c r="AH197" s="67"/>
      <c r="AI197" s="67"/>
      <c r="AJ197" s="67"/>
      <c r="AK197" s="67"/>
      <c r="AL197" s="67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  <c r="BI197" s="67"/>
      <c r="BJ197" s="67"/>
      <c r="BK197" s="67"/>
      <c r="BL197" s="67"/>
      <c r="BM197" s="67"/>
      <c r="BN197" s="67"/>
      <c r="BO197" s="67"/>
      <c r="BP197" s="67"/>
      <c r="BQ197" s="67"/>
      <c r="BR197" s="67"/>
      <c r="BS197" s="67"/>
      <c r="BT197" s="67"/>
      <c r="BU197" s="67"/>
      <c r="BV197" s="67"/>
      <c r="BW197" s="67"/>
      <c r="BX197" s="67"/>
      <c r="BY197" s="67"/>
      <c r="BZ197" s="67"/>
      <c r="CA197" s="67"/>
      <c r="CB197" s="67"/>
      <c r="CC197" s="67"/>
      <c r="CD197" s="67"/>
      <c r="CE197" s="67"/>
      <c r="CF197" s="67"/>
      <c r="CG197" s="67"/>
      <c r="CH197" s="67"/>
      <c r="CI197" s="67"/>
      <c r="CJ197" s="67"/>
      <c r="CK197" s="67"/>
      <c r="CL197" s="67"/>
      <c r="CM197" s="67"/>
      <c r="CN197" s="67"/>
      <c r="CO197" s="67"/>
      <c r="CP197" s="67"/>
      <c r="CQ197" s="67"/>
      <c r="CR197" s="67"/>
      <c r="CS197" s="67"/>
      <c r="CT197" s="67"/>
      <c r="CU197" s="67"/>
      <c r="CV197" s="67"/>
      <c r="CW197" s="67"/>
      <c r="CX197" s="67"/>
      <c r="CY197" s="67"/>
      <c r="CZ197" s="67"/>
      <c r="DA197" s="67"/>
      <c r="DB197" s="67"/>
      <c r="DC197" s="67"/>
      <c r="DD197" s="67"/>
      <c r="DE197" s="67"/>
      <c r="DF197" s="67"/>
      <c r="DG197" s="67"/>
      <c r="DH197" s="67"/>
      <c r="DI197" s="67"/>
      <c r="DJ197" s="67"/>
      <c r="DK197" s="67"/>
      <c r="DL197" s="67"/>
      <c r="DM197" s="67"/>
      <c r="DN197" s="67"/>
      <c r="DO197" s="67"/>
      <c r="DP197" s="67"/>
      <c r="DQ197" s="67"/>
      <c r="DR197" s="67"/>
      <c r="DS197" s="67"/>
      <c r="DT197" s="67"/>
      <c r="DU197" s="67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  <c r="ER197" s="6"/>
      <c r="ES197" s="6"/>
      <c r="ET197" s="6"/>
      <c r="EU197" s="6"/>
      <c r="EV197" s="6"/>
      <c r="EW197" s="6"/>
      <c r="EX197" s="6"/>
      <c r="EY197" s="6"/>
      <c r="EZ197" s="6"/>
      <c r="FA197" s="6"/>
      <c r="FB197" s="6"/>
      <c r="FC197" s="6"/>
      <c r="FD197" s="6"/>
      <c r="FE197" s="6"/>
      <c r="FF197" s="6"/>
      <c r="FG197" s="6"/>
      <c r="FH197" s="6"/>
      <c r="FI197" s="6"/>
      <c r="FJ197" s="6"/>
      <c r="FK197" s="6"/>
      <c r="FL197" s="6"/>
      <c r="FM197" s="6"/>
      <c r="FN197" s="6"/>
      <c r="FO197" s="6"/>
      <c r="FP197" s="6"/>
      <c r="FQ197" s="6"/>
      <c r="FR197" s="6"/>
      <c r="FS197" s="6"/>
      <c r="FT197" s="6"/>
      <c r="FU197" s="6"/>
      <c r="FV197" s="6"/>
      <c r="FW197" s="6"/>
      <c r="FX197" s="6"/>
      <c r="FY197" s="6"/>
      <c r="FZ197" s="6"/>
      <c r="GA197" s="6"/>
      <c r="GB197" s="6"/>
      <c r="GC197" s="6"/>
      <c r="GD197" s="6"/>
      <c r="GE197" s="6"/>
      <c r="GF197" s="6"/>
      <c r="GG197" s="6"/>
      <c r="GH197" s="6"/>
      <c r="GI197" s="6"/>
      <c r="GJ197" s="6"/>
      <c r="GK197" s="6"/>
      <c r="GL197" s="6"/>
    </row>
    <row r="198" spans="1:194" x14ac:dyDescent="0.25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  <c r="AF198" s="67"/>
      <c r="AG198" s="67"/>
      <c r="AH198" s="67"/>
      <c r="AI198" s="67"/>
      <c r="AJ198" s="67"/>
      <c r="AK198" s="67"/>
      <c r="AL198" s="67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  <c r="BI198" s="67"/>
      <c r="BJ198" s="67"/>
      <c r="BK198" s="67"/>
      <c r="BL198" s="67"/>
      <c r="BM198" s="67"/>
      <c r="BN198" s="67"/>
      <c r="BO198" s="67"/>
      <c r="BP198" s="67"/>
      <c r="BQ198" s="67"/>
      <c r="BR198" s="67"/>
      <c r="BS198" s="67"/>
      <c r="BT198" s="67"/>
      <c r="BU198" s="67"/>
      <c r="BV198" s="67"/>
      <c r="BW198" s="67"/>
      <c r="BX198" s="67"/>
      <c r="BY198" s="67"/>
      <c r="BZ198" s="67"/>
      <c r="CA198" s="67"/>
      <c r="CB198" s="67"/>
      <c r="CC198" s="67"/>
      <c r="CD198" s="67"/>
      <c r="CE198" s="67"/>
      <c r="CF198" s="67"/>
      <c r="CG198" s="67"/>
      <c r="CH198" s="67"/>
      <c r="CI198" s="67"/>
      <c r="CJ198" s="67"/>
      <c r="CK198" s="67"/>
      <c r="CL198" s="67"/>
      <c r="CM198" s="67"/>
      <c r="CN198" s="67"/>
      <c r="CO198" s="67"/>
      <c r="CP198" s="67"/>
      <c r="CQ198" s="67"/>
      <c r="CR198" s="67"/>
      <c r="CS198" s="67"/>
      <c r="CT198" s="67"/>
      <c r="CU198" s="67"/>
      <c r="CV198" s="67"/>
      <c r="CW198" s="67"/>
      <c r="CX198" s="67"/>
      <c r="CY198" s="67"/>
      <c r="CZ198" s="67"/>
      <c r="DA198" s="67"/>
      <c r="DB198" s="67"/>
      <c r="DC198" s="67"/>
      <c r="DD198" s="67"/>
      <c r="DE198" s="67"/>
      <c r="DF198" s="67"/>
      <c r="DG198" s="67"/>
      <c r="DH198" s="67"/>
      <c r="DI198" s="67"/>
      <c r="DJ198" s="67"/>
      <c r="DK198" s="67"/>
      <c r="DL198" s="67"/>
      <c r="DM198" s="67"/>
      <c r="DN198" s="67"/>
      <c r="DO198" s="67"/>
      <c r="DP198" s="67"/>
      <c r="DQ198" s="67"/>
      <c r="DR198" s="67"/>
      <c r="DS198" s="67"/>
      <c r="DT198" s="67"/>
      <c r="DU198" s="67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  <c r="ER198" s="6"/>
      <c r="ES198" s="6"/>
      <c r="ET198" s="6"/>
      <c r="EU198" s="6"/>
      <c r="EV198" s="6"/>
      <c r="EW198" s="6"/>
      <c r="EX198" s="6"/>
      <c r="EY198" s="6"/>
      <c r="EZ198" s="6"/>
      <c r="FA198" s="6"/>
      <c r="FB198" s="6"/>
      <c r="FC198" s="6"/>
      <c r="FD198" s="6"/>
      <c r="FE198" s="6"/>
      <c r="FF198" s="6"/>
      <c r="FG198" s="6"/>
      <c r="FH198" s="6"/>
      <c r="FI198" s="6"/>
      <c r="FJ198" s="6"/>
      <c r="FK198" s="6"/>
      <c r="FL198" s="6"/>
      <c r="FM198" s="6"/>
      <c r="FN198" s="6"/>
      <c r="FO198" s="6"/>
      <c r="FP198" s="6"/>
      <c r="FQ198" s="6"/>
      <c r="FR198" s="6"/>
      <c r="FS198" s="6"/>
      <c r="FT198" s="6"/>
      <c r="FU198" s="6"/>
      <c r="FV198" s="6"/>
      <c r="FW198" s="6"/>
      <c r="FX198" s="6"/>
      <c r="FY198" s="6"/>
      <c r="FZ198" s="6"/>
      <c r="GA198" s="6"/>
      <c r="GB198" s="6"/>
      <c r="GC198" s="6"/>
      <c r="GD198" s="6"/>
      <c r="GE198" s="6"/>
      <c r="GF198" s="6"/>
      <c r="GG198" s="6"/>
      <c r="GH198" s="6"/>
      <c r="GI198" s="6"/>
      <c r="GJ198" s="6"/>
      <c r="GK198" s="6"/>
      <c r="GL198" s="6"/>
    </row>
    <row r="199" spans="1:194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AG199" s="67"/>
      <c r="AH199" s="67"/>
      <c r="AI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  <c r="BI199" s="67"/>
      <c r="BJ199" s="67"/>
      <c r="BK199" s="67"/>
      <c r="BL199" s="67"/>
      <c r="BM199" s="67"/>
      <c r="BN199" s="67"/>
      <c r="BO199" s="67"/>
      <c r="BP199" s="67"/>
      <c r="BQ199" s="67"/>
      <c r="BR199" s="67"/>
      <c r="BS199" s="67"/>
      <c r="BT199" s="67"/>
      <c r="BU199" s="67"/>
      <c r="BV199" s="67"/>
      <c r="BW199" s="67"/>
      <c r="BX199" s="67"/>
      <c r="BY199" s="67"/>
      <c r="BZ199" s="67"/>
      <c r="CA199" s="67"/>
      <c r="CB199" s="67"/>
      <c r="CC199" s="67"/>
      <c r="CD199" s="67"/>
      <c r="CE199" s="67"/>
      <c r="CF199" s="67"/>
      <c r="CG199" s="67"/>
      <c r="CH199" s="67"/>
      <c r="CI199" s="67"/>
      <c r="CJ199" s="67"/>
      <c r="CK199" s="67"/>
      <c r="CL199" s="67"/>
      <c r="CM199" s="67"/>
      <c r="CN199" s="67"/>
      <c r="CO199" s="67"/>
      <c r="CP199" s="67"/>
      <c r="CQ199" s="67"/>
      <c r="CR199" s="67"/>
      <c r="CS199" s="67"/>
      <c r="CT199" s="67"/>
      <c r="CU199" s="67"/>
      <c r="CV199" s="67"/>
      <c r="CW199" s="67"/>
      <c r="CX199" s="67"/>
      <c r="CY199" s="67"/>
      <c r="CZ199" s="67"/>
      <c r="DA199" s="67"/>
      <c r="DB199" s="67"/>
      <c r="DC199" s="67"/>
      <c r="DD199" s="67"/>
      <c r="DE199" s="67"/>
      <c r="DF199" s="67"/>
      <c r="DG199" s="67"/>
      <c r="DH199" s="67"/>
      <c r="DI199" s="67"/>
      <c r="DJ199" s="67"/>
      <c r="DK199" s="67"/>
      <c r="DL199" s="67"/>
      <c r="DM199" s="67"/>
      <c r="DN199" s="67"/>
      <c r="DO199" s="67"/>
      <c r="DP199" s="67"/>
      <c r="DQ199" s="67"/>
      <c r="DR199" s="67"/>
      <c r="DS199" s="67"/>
      <c r="DT199" s="67"/>
      <c r="DU199" s="67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  <c r="ER199" s="6"/>
      <c r="ES199" s="6"/>
      <c r="ET199" s="6"/>
      <c r="EU199" s="6"/>
      <c r="EV199" s="6"/>
      <c r="EW199" s="6"/>
      <c r="EX199" s="6"/>
      <c r="EY199" s="6"/>
      <c r="EZ199" s="6"/>
      <c r="FA199" s="6"/>
      <c r="FB199" s="6"/>
      <c r="FC199" s="6"/>
      <c r="FD199" s="6"/>
      <c r="FE199" s="6"/>
      <c r="FF199" s="6"/>
      <c r="FG199" s="6"/>
      <c r="FH199" s="6"/>
      <c r="FI199" s="6"/>
      <c r="FJ199" s="6"/>
      <c r="FK199" s="6"/>
      <c r="FL199" s="6"/>
      <c r="FM199" s="6"/>
      <c r="FN199" s="6"/>
      <c r="FO199" s="6"/>
      <c r="FP199" s="6"/>
      <c r="FQ199" s="6"/>
      <c r="FR199" s="6"/>
      <c r="FS199" s="6"/>
      <c r="FT199" s="6"/>
      <c r="FU199" s="6"/>
      <c r="FV199" s="6"/>
      <c r="FW199" s="6"/>
      <c r="FX199" s="6"/>
      <c r="FY199" s="6"/>
      <c r="FZ199" s="6"/>
      <c r="GA199" s="6"/>
      <c r="GB199" s="6"/>
      <c r="GC199" s="6"/>
      <c r="GD199" s="6"/>
      <c r="GE199" s="6"/>
      <c r="GF199" s="6"/>
      <c r="GG199" s="6"/>
      <c r="GH199" s="6"/>
      <c r="GI199" s="6"/>
      <c r="GJ199" s="6"/>
      <c r="GK199" s="6"/>
      <c r="GL199" s="6"/>
    </row>
    <row r="200" spans="1:194" x14ac:dyDescent="0.25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  <c r="AD200" s="67"/>
      <c r="AE200" s="67"/>
      <c r="AF200" s="67"/>
      <c r="AG200" s="67"/>
      <c r="AH200" s="67"/>
      <c r="AI200" s="67"/>
      <c r="AJ200" s="67"/>
      <c r="AK200" s="67"/>
      <c r="AL200" s="67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  <c r="BI200" s="67"/>
      <c r="BJ200" s="67"/>
      <c r="BK200" s="67"/>
      <c r="BL200" s="67"/>
      <c r="BM200" s="67"/>
      <c r="BN200" s="67"/>
      <c r="BO200" s="67"/>
      <c r="BP200" s="67"/>
      <c r="BQ200" s="67"/>
      <c r="BR200" s="67"/>
      <c r="BS200" s="67"/>
      <c r="BT200" s="67"/>
      <c r="BU200" s="67"/>
      <c r="BV200" s="67"/>
      <c r="BW200" s="67"/>
      <c r="BX200" s="67"/>
      <c r="BY200" s="67"/>
      <c r="BZ200" s="67"/>
      <c r="CA200" s="67"/>
      <c r="CB200" s="67"/>
      <c r="CC200" s="67"/>
      <c r="CD200" s="67"/>
      <c r="CE200" s="67"/>
      <c r="CF200" s="67"/>
      <c r="CG200" s="67"/>
      <c r="CH200" s="67"/>
      <c r="CI200" s="67"/>
      <c r="CJ200" s="67"/>
      <c r="CK200" s="67"/>
      <c r="CL200" s="67"/>
      <c r="CM200" s="67"/>
      <c r="CN200" s="67"/>
      <c r="CO200" s="67"/>
      <c r="CP200" s="67"/>
      <c r="CQ200" s="67"/>
      <c r="CR200" s="67"/>
      <c r="CS200" s="67"/>
      <c r="CT200" s="67"/>
      <c r="CU200" s="67"/>
      <c r="CV200" s="67"/>
      <c r="CW200" s="67"/>
      <c r="CX200" s="67"/>
      <c r="CY200" s="67"/>
      <c r="CZ200" s="67"/>
      <c r="DA200" s="67"/>
      <c r="DB200" s="67"/>
      <c r="DC200" s="67"/>
      <c r="DD200" s="67"/>
      <c r="DE200" s="67"/>
      <c r="DF200" s="67"/>
      <c r="DG200" s="67"/>
      <c r="DH200" s="67"/>
      <c r="DI200" s="67"/>
      <c r="DJ200" s="67"/>
      <c r="DK200" s="67"/>
      <c r="DL200" s="67"/>
      <c r="DM200" s="67"/>
      <c r="DN200" s="67"/>
      <c r="DO200" s="67"/>
      <c r="DP200" s="67"/>
      <c r="DQ200" s="67"/>
      <c r="DR200" s="67"/>
      <c r="DS200" s="67"/>
      <c r="DT200" s="67"/>
      <c r="DU200" s="67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  <c r="ER200" s="6"/>
      <c r="ES200" s="6"/>
      <c r="ET200" s="6"/>
      <c r="EU200" s="6"/>
      <c r="EV200" s="6"/>
      <c r="EW200" s="6"/>
      <c r="EX200" s="6"/>
      <c r="EY200" s="6"/>
      <c r="EZ200" s="6"/>
      <c r="FA200" s="6"/>
      <c r="FB200" s="6"/>
      <c r="FC200" s="6"/>
      <c r="FD200" s="6"/>
      <c r="FE200" s="6"/>
      <c r="FF200" s="6"/>
      <c r="FG200" s="6"/>
      <c r="FH200" s="6"/>
      <c r="FI200" s="6"/>
      <c r="FJ200" s="6"/>
      <c r="FK200" s="6"/>
      <c r="FL200" s="6"/>
      <c r="FM200" s="6"/>
      <c r="FN200" s="6"/>
      <c r="FO200" s="6"/>
      <c r="FP200" s="6"/>
      <c r="FQ200" s="6"/>
      <c r="FR200" s="6"/>
      <c r="FS200" s="6"/>
      <c r="FT200" s="6"/>
      <c r="FU200" s="6"/>
      <c r="FV200" s="6"/>
      <c r="FW200" s="6"/>
      <c r="FX200" s="6"/>
      <c r="FY200" s="6"/>
      <c r="FZ200" s="6"/>
      <c r="GA200" s="6"/>
      <c r="GB200" s="6"/>
      <c r="GC200" s="6"/>
      <c r="GD200" s="6"/>
      <c r="GE200" s="6"/>
      <c r="GF200" s="6"/>
      <c r="GG200" s="6"/>
      <c r="GH200" s="6"/>
      <c r="GI200" s="6"/>
      <c r="GJ200" s="6"/>
      <c r="GK200" s="6"/>
      <c r="GL200" s="6"/>
    </row>
    <row r="201" spans="1:194" x14ac:dyDescent="0.25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AG201" s="67"/>
      <c r="AH201" s="67"/>
      <c r="AI201" s="67"/>
      <c r="AJ201" s="67"/>
      <c r="AK201" s="67"/>
      <c r="AL201" s="67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  <c r="BI201" s="67"/>
      <c r="BJ201" s="67"/>
      <c r="BK201" s="67"/>
      <c r="BL201" s="67"/>
      <c r="BM201" s="67"/>
      <c r="BN201" s="67"/>
      <c r="BO201" s="67"/>
      <c r="BP201" s="67"/>
      <c r="BQ201" s="67"/>
      <c r="BR201" s="67"/>
      <c r="BS201" s="67"/>
      <c r="BT201" s="67"/>
      <c r="BU201" s="67"/>
      <c r="BV201" s="67"/>
      <c r="BW201" s="67"/>
      <c r="BX201" s="67"/>
      <c r="BY201" s="67"/>
      <c r="BZ201" s="67"/>
      <c r="CA201" s="67"/>
      <c r="CB201" s="67"/>
      <c r="CC201" s="67"/>
      <c r="CD201" s="67"/>
      <c r="CE201" s="67"/>
      <c r="CF201" s="67"/>
      <c r="CG201" s="67"/>
      <c r="CH201" s="67"/>
      <c r="CI201" s="67"/>
      <c r="CJ201" s="67"/>
      <c r="CK201" s="67"/>
      <c r="CL201" s="67"/>
      <c r="CM201" s="67"/>
      <c r="CN201" s="67"/>
      <c r="CO201" s="67"/>
      <c r="CP201" s="67"/>
      <c r="CQ201" s="67"/>
      <c r="CR201" s="67"/>
      <c r="CS201" s="67"/>
      <c r="CT201" s="67"/>
      <c r="CU201" s="67"/>
      <c r="CV201" s="67"/>
      <c r="CW201" s="67"/>
      <c r="CX201" s="67"/>
      <c r="CY201" s="67"/>
      <c r="CZ201" s="67"/>
      <c r="DA201" s="67"/>
      <c r="DB201" s="67"/>
      <c r="DC201" s="67"/>
      <c r="DD201" s="67"/>
      <c r="DE201" s="67"/>
      <c r="DF201" s="67"/>
      <c r="DG201" s="67"/>
      <c r="DH201" s="67"/>
      <c r="DI201" s="67"/>
      <c r="DJ201" s="67"/>
      <c r="DK201" s="67"/>
      <c r="DL201" s="67"/>
      <c r="DM201" s="67"/>
      <c r="DN201" s="67"/>
      <c r="DO201" s="67"/>
      <c r="DP201" s="67"/>
      <c r="DQ201" s="67"/>
      <c r="DR201" s="67"/>
      <c r="DS201" s="67"/>
      <c r="DT201" s="67"/>
      <c r="DU201" s="67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  <c r="ER201" s="6"/>
      <c r="ES201" s="6"/>
      <c r="ET201" s="6"/>
      <c r="EU201" s="6"/>
      <c r="EV201" s="6"/>
      <c r="EW201" s="6"/>
      <c r="EX201" s="6"/>
      <c r="EY201" s="6"/>
      <c r="EZ201" s="6"/>
      <c r="FA201" s="6"/>
      <c r="FB201" s="6"/>
      <c r="FC201" s="6"/>
      <c r="FD201" s="6"/>
      <c r="FE201" s="6"/>
      <c r="FF201" s="6"/>
      <c r="FG201" s="6"/>
      <c r="FH201" s="6"/>
      <c r="FI201" s="6"/>
      <c r="FJ201" s="6"/>
      <c r="FK201" s="6"/>
      <c r="FL201" s="6"/>
      <c r="FM201" s="6"/>
      <c r="FN201" s="6"/>
      <c r="FO201" s="6"/>
      <c r="FP201" s="6"/>
      <c r="FQ201" s="6"/>
      <c r="FR201" s="6"/>
      <c r="FS201" s="6"/>
      <c r="FT201" s="6"/>
      <c r="FU201" s="6"/>
      <c r="FV201" s="6"/>
      <c r="FW201" s="6"/>
      <c r="FX201" s="6"/>
      <c r="FY201" s="6"/>
      <c r="FZ201" s="6"/>
      <c r="GA201" s="6"/>
      <c r="GB201" s="6"/>
      <c r="GC201" s="6"/>
      <c r="GD201" s="6"/>
      <c r="GE201" s="6"/>
      <c r="GF201" s="6"/>
      <c r="GG201" s="6"/>
      <c r="GH201" s="6"/>
      <c r="GI201" s="6"/>
      <c r="GJ201" s="6"/>
      <c r="GK201" s="6"/>
      <c r="GL201" s="6"/>
    </row>
    <row r="202" spans="1:194" x14ac:dyDescent="0.25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  <c r="AI202" s="67"/>
      <c r="AJ202" s="67"/>
      <c r="AK202" s="67"/>
      <c r="AL202" s="67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  <c r="BI202" s="67"/>
      <c r="BJ202" s="67"/>
      <c r="BK202" s="67"/>
      <c r="BL202" s="67"/>
      <c r="BM202" s="67"/>
      <c r="BN202" s="67"/>
      <c r="BO202" s="67"/>
      <c r="BP202" s="67"/>
      <c r="BQ202" s="67"/>
      <c r="BR202" s="67"/>
      <c r="BS202" s="67"/>
      <c r="BT202" s="67"/>
      <c r="BU202" s="67"/>
      <c r="BV202" s="67"/>
      <c r="BW202" s="67"/>
      <c r="BX202" s="67"/>
      <c r="BY202" s="67"/>
      <c r="BZ202" s="67"/>
      <c r="CA202" s="67"/>
      <c r="CB202" s="67"/>
      <c r="CC202" s="67"/>
      <c r="CD202" s="67"/>
      <c r="CE202" s="67"/>
      <c r="CF202" s="67"/>
      <c r="CG202" s="67"/>
      <c r="CH202" s="67"/>
      <c r="CI202" s="67"/>
      <c r="CJ202" s="67"/>
      <c r="CK202" s="67"/>
      <c r="CL202" s="67"/>
      <c r="CM202" s="67"/>
      <c r="CN202" s="67"/>
      <c r="CO202" s="67"/>
      <c r="CP202" s="67"/>
      <c r="CQ202" s="67"/>
      <c r="CR202" s="67"/>
      <c r="CS202" s="67"/>
      <c r="CT202" s="67"/>
      <c r="CU202" s="67"/>
      <c r="CV202" s="67"/>
      <c r="CW202" s="67"/>
      <c r="CX202" s="67"/>
      <c r="CY202" s="67"/>
      <c r="CZ202" s="67"/>
      <c r="DA202" s="67"/>
      <c r="DB202" s="67"/>
      <c r="DC202" s="67"/>
      <c r="DD202" s="67"/>
      <c r="DE202" s="67"/>
      <c r="DF202" s="67"/>
      <c r="DG202" s="67"/>
      <c r="DH202" s="67"/>
      <c r="DI202" s="67"/>
      <c r="DJ202" s="67"/>
      <c r="DK202" s="67"/>
      <c r="DL202" s="67"/>
      <c r="DM202" s="67"/>
      <c r="DN202" s="67"/>
      <c r="DO202" s="67"/>
      <c r="DP202" s="67"/>
      <c r="DQ202" s="67"/>
      <c r="DR202" s="67"/>
      <c r="DS202" s="67"/>
      <c r="DT202" s="67"/>
      <c r="DU202" s="67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</row>
    <row r="203" spans="1:194" x14ac:dyDescent="0.25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  <c r="AI203" s="67"/>
      <c r="AJ203" s="67"/>
      <c r="AK203" s="67"/>
      <c r="AL203" s="67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  <c r="BI203" s="67"/>
      <c r="BJ203" s="67"/>
      <c r="BK203" s="67"/>
      <c r="BL203" s="67"/>
      <c r="BM203" s="67"/>
      <c r="BN203" s="67"/>
      <c r="BO203" s="67"/>
      <c r="BP203" s="67"/>
      <c r="BQ203" s="67"/>
      <c r="BR203" s="67"/>
      <c r="BS203" s="67"/>
      <c r="BT203" s="67"/>
      <c r="BU203" s="67"/>
      <c r="BV203" s="67"/>
      <c r="BW203" s="67"/>
      <c r="BX203" s="67"/>
      <c r="BY203" s="67"/>
      <c r="BZ203" s="67"/>
      <c r="CA203" s="67"/>
      <c r="CB203" s="67"/>
      <c r="CC203" s="67"/>
      <c r="CD203" s="67"/>
      <c r="CE203" s="67"/>
      <c r="CF203" s="67"/>
      <c r="CG203" s="67"/>
      <c r="CH203" s="67"/>
      <c r="CI203" s="67"/>
      <c r="CJ203" s="67"/>
      <c r="CK203" s="67"/>
      <c r="CL203" s="67"/>
      <c r="CM203" s="67"/>
      <c r="CN203" s="67"/>
      <c r="CO203" s="67"/>
      <c r="CP203" s="67"/>
      <c r="CQ203" s="67"/>
      <c r="CR203" s="67"/>
      <c r="CS203" s="67"/>
      <c r="CT203" s="67"/>
      <c r="CU203" s="67"/>
      <c r="CV203" s="67"/>
      <c r="CW203" s="67"/>
      <c r="CX203" s="67"/>
      <c r="CY203" s="67"/>
      <c r="CZ203" s="67"/>
      <c r="DA203" s="67"/>
      <c r="DB203" s="67"/>
      <c r="DC203" s="67"/>
      <c r="DD203" s="67"/>
      <c r="DE203" s="67"/>
      <c r="DF203" s="67"/>
      <c r="DG203" s="67"/>
      <c r="DH203" s="67"/>
      <c r="DI203" s="67"/>
      <c r="DJ203" s="67"/>
      <c r="DK203" s="67"/>
      <c r="DL203" s="67"/>
      <c r="DM203" s="67"/>
      <c r="DN203" s="67"/>
      <c r="DO203" s="67"/>
      <c r="DP203" s="67"/>
      <c r="DQ203" s="67"/>
      <c r="DR203" s="67"/>
      <c r="DS203" s="67"/>
      <c r="DT203" s="67"/>
      <c r="DU203" s="67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  <c r="ER203" s="6"/>
      <c r="ES203" s="6"/>
      <c r="ET203" s="6"/>
      <c r="EU203" s="6"/>
      <c r="EV203" s="6"/>
      <c r="EW203" s="6"/>
      <c r="EX203" s="6"/>
      <c r="EY203" s="6"/>
      <c r="EZ203" s="6"/>
      <c r="FA203" s="6"/>
      <c r="FB203" s="6"/>
      <c r="FC203" s="6"/>
      <c r="FD203" s="6"/>
      <c r="FE203" s="6"/>
      <c r="FF203" s="6"/>
      <c r="FG203" s="6"/>
      <c r="FH203" s="6"/>
      <c r="FI203" s="6"/>
      <c r="FJ203" s="6"/>
      <c r="FK203" s="6"/>
      <c r="FL203" s="6"/>
      <c r="FM203" s="6"/>
      <c r="FN203" s="6"/>
      <c r="FO203" s="6"/>
      <c r="FP203" s="6"/>
      <c r="FQ203" s="6"/>
      <c r="FR203" s="6"/>
      <c r="FS203" s="6"/>
      <c r="FT203" s="6"/>
      <c r="FU203" s="6"/>
      <c r="FV203" s="6"/>
      <c r="FW203" s="6"/>
      <c r="FX203" s="6"/>
      <c r="FY203" s="6"/>
      <c r="FZ203" s="6"/>
      <c r="GA203" s="6"/>
      <c r="GB203" s="6"/>
      <c r="GC203" s="6"/>
      <c r="GD203" s="6"/>
      <c r="GE203" s="6"/>
      <c r="GF203" s="6"/>
      <c r="GG203" s="6"/>
      <c r="GH203" s="6"/>
      <c r="GI203" s="6"/>
      <c r="GJ203" s="6"/>
      <c r="GK203" s="6"/>
      <c r="GL203" s="6"/>
    </row>
    <row r="204" spans="1:194" x14ac:dyDescent="0.25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  <c r="AI204" s="67"/>
      <c r="AJ204" s="67"/>
      <c r="AK204" s="67"/>
      <c r="AL204" s="67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  <c r="BI204" s="67"/>
      <c r="BJ204" s="67"/>
      <c r="BK204" s="67"/>
      <c r="BL204" s="67"/>
      <c r="BM204" s="67"/>
      <c r="BN204" s="67"/>
      <c r="BO204" s="67"/>
      <c r="BP204" s="67"/>
      <c r="BQ204" s="67"/>
      <c r="BR204" s="67"/>
      <c r="BS204" s="67"/>
      <c r="BT204" s="67"/>
      <c r="BU204" s="67"/>
      <c r="BV204" s="67"/>
      <c r="BW204" s="67"/>
      <c r="BX204" s="67"/>
      <c r="BY204" s="67"/>
      <c r="BZ204" s="67"/>
      <c r="CA204" s="67"/>
      <c r="CB204" s="67"/>
      <c r="CC204" s="67"/>
      <c r="CD204" s="67"/>
      <c r="CE204" s="67"/>
      <c r="CF204" s="67"/>
      <c r="CG204" s="67"/>
      <c r="CH204" s="67"/>
      <c r="CI204" s="67"/>
      <c r="CJ204" s="67"/>
      <c r="CK204" s="67"/>
      <c r="CL204" s="67"/>
      <c r="CM204" s="67"/>
      <c r="CN204" s="67"/>
      <c r="CO204" s="67"/>
      <c r="CP204" s="67"/>
      <c r="CQ204" s="67"/>
      <c r="CR204" s="67"/>
      <c r="CS204" s="67"/>
      <c r="CT204" s="67"/>
      <c r="CU204" s="67"/>
      <c r="CV204" s="67"/>
      <c r="CW204" s="67"/>
      <c r="CX204" s="67"/>
      <c r="CY204" s="67"/>
      <c r="CZ204" s="67"/>
      <c r="DA204" s="67"/>
      <c r="DB204" s="67"/>
      <c r="DC204" s="67"/>
      <c r="DD204" s="67"/>
      <c r="DE204" s="67"/>
      <c r="DF204" s="67"/>
      <c r="DG204" s="67"/>
      <c r="DH204" s="67"/>
      <c r="DI204" s="67"/>
      <c r="DJ204" s="67"/>
      <c r="DK204" s="67"/>
      <c r="DL204" s="67"/>
      <c r="DM204" s="67"/>
      <c r="DN204" s="67"/>
      <c r="DO204" s="67"/>
      <c r="DP204" s="67"/>
      <c r="DQ204" s="67"/>
      <c r="DR204" s="67"/>
      <c r="DS204" s="67"/>
      <c r="DT204" s="67"/>
      <c r="DU204" s="67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  <c r="ER204" s="6"/>
      <c r="ES204" s="6"/>
      <c r="ET204" s="6"/>
      <c r="EU204" s="6"/>
      <c r="EV204" s="6"/>
      <c r="EW204" s="6"/>
      <c r="EX204" s="6"/>
      <c r="EY204" s="6"/>
      <c r="EZ204" s="6"/>
      <c r="FA204" s="6"/>
      <c r="FB204" s="6"/>
      <c r="FC204" s="6"/>
      <c r="FD204" s="6"/>
      <c r="FE204" s="6"/>
      <c r="FF204" s="6"/>
      <c r="FG204" s="6"/>
      <c r="FH204" s="6"/>
      <c r="FI204" s="6"/>
      <c r="FJ204" s="6"/>
      <c r="FK204" s="6"/>
      <c r="FL204" s="6"/>
      <c r="FM204" s="6"/>
      <c r="FN204" s="6"/>
      <c r="FO204" s="6"/>
      <c r="FP204" s="6"/>
      <c r="FQ204" s="6"/>
      <c r="FR204" s="6"/>
      <c r="FS204" s="6"/>
      <c r="FT204" s="6"/>
      <c r="FU204" s="6"/>
      <c r="FV204" s="6"/>
      <c r="FW204" s="6"/>
      <c r="FX204" s="6"/>
      <c r="FY204" s="6"/>
      <c r="FZ204" s="6"/>
      <c r="GA204" s="6"/>
      <c r="GB204" s="6"/>
      <c r="GC204" s="6"/>
      <c r="GD204" s="6"/>
      <c r="GE204" s="6"/>
      <c r="GF204" s="6"/>
      <c r="GG204" s="6"/>
      <c r="GH204" s="6"/>
      <c r="GI204" s="6"/>
      <c r="GJ204" s="6"/>
      <c r="GK204" s="6"/>
      <c r="GL204" s="6"/>
    </row>
    <row r="205" spans="1:194" x14ac:dyDescent="0.25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AG205" s="67"/>
      <c r="AH205" s="67"/>
      <c r="AI205" s="67"/>
      <c r="AJ205" s="67"/>
      <c r="AK205" s="67"/>
      <c r="AL205" s="67"/>
      <c r="AM205" s="67"/>
      <c r="AN205" s="67"/>
      <c r="AO205" s="67"/>
      <c r="AP205" s="67"/>
      <c r="AQ205" s="67"/>
      <c r="AR205" s="67"/>
      <c r="AS205" s="67"/>
      <c r="AT205" s="67"/>
      <c r="AU205" s="67"/>
      <c r="AV205" s="67"/>
      <c r="AW205" s="67"/>
      <c r="AX205" s="67"/>
      <c r="AY205" s="67"/>
      <c r="AZ205" s="67"/>
      <c r="BA205" s="67"/>
      <c r="BB205" s="67"/>
      <c r="BC205" s="67"/>
      <c r="BD205" s="67"/>
      <c r="BE205" s="67"/>
      <c r="BF205" s="67"/>
      <c r="BG205" s="67"/>
      <c r="BH205" s="67"/>
      <c r="BI205" s="67"/>
      <c r="BJ205" s="67"/>
      <c r="BK205" s="67"/>
      <c r="BL205" s="67"/>
      <c r="BM205" s="67"/>
      <c r="BN205" s="67"/>
      <c r="BO205" s="67"/>
      <c r="BP205" s="67"/>
      <c r="BQ205" s="67"/>
      <c r="BR205" s="67"/>
      <c r="BS205" s="67"/>
      <c r="BT205" s="67"/>
      <c r="BU205" s="67"/>
      <c r="BV205" s="67"/>
      <c r="BW205" s="67"/>
      <c r="BX205" s="67"/>
      <c r="BY205" s="67"/>
      <c r="BZ205" s="67"/>
      <c r="CA205" s="67"/>
      <c r="CB205" s="67"/>
      <c r="CC205" s="67"/>
      <c r="CD205" s="67"/>
      <c r="CE205" s="67"/>
      <c r="CF205" s="67"/>
      <c r="CG205" s="67"/>
      <c r="CH205" s="67"/>
      <c r="CI205" s="67"/>
      <c r="CJ205" s="67"/>
      <c r="CK205" s="67"/>
      <c r="CL205" s="67"/>
      <c r="CM205" s="67"/>
      <c r="CN205" s="67"/>
      <c r="CO205" s="67"/>
      <c r="CP205" s="67"/>
      <c r="CQ205" s="67"/>
      <c r="CR205" s="67"/>
      <c r="CS205" s="67"/>
      <c r="CT205" s="67"/>
      <c r="CU205" s="67"/>
      <c r="CV205" s="67"/>
      <c r="CW205" s="67"/>
      <c r="CX205" s="67"/>
      <c r="CY205" s="67"/>
      <c r="CZ205" s="67"/>
      <c r="DA205" s="67"/>
      <c r="DB205" s="67"/>
      <c r="DC205" s="67"/>
      <c r="DD205" s="67"/>
      <c r="DE205" s="67"/>
      <c r="DF205" s="67"/>
      <c r="DG205" s="67"/>
      <c r="DH205" s="67"/>
      <c r="DI205" s="67"/>
      <c r="DJ205" s="67"/>
      <c r="DK205" s="67"/>
      <c r="DL205" s="67"/>
      <c r="DM205" s="67"/>
      <c r="DN205" s="67"/>
      <c r="DO205" s="67"/>
      <c r="DP205" s="67"/>
      <c r="DQ205" s="67"/>
      <c r="DR205" s="67"/>
      <c r="DS205" s="67"/>
      <c r="DT205" s="67"/>
      <c r="DU205" s="67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  <c r="ER205" s="6"/>
      <c r="ES205" s="6"/>
      <c r="ET205" s="6"/>
      <c r="EU205" s="6"/>
      <c r="EV205" s="6"/>
      <c r="EW205" s="6"/>
      <c r="EX205" s="6"/>
      <c r="EY205" s="6"/>
      <c r="EZ205" s="6"/>
      <c r="FA205" s="6"/>
      <c r="FB205" s="6"/>
      <c r="FC205" s="6"/>
      <c r="FD205" s="6"/>
      <c r="FE205" s="6"/>
      <c r="FF205" s="6"/>
      <c r="FG205" s="6"/>
      <c r="FH205" s="6"/>
      <c r="FI205" s="6"/>
      <c r="FJ205" s="6"/>
      <c r="FK205" s="6"/>
      <c r="FL205" s="6"/>
      <c r="FM205" s="6"/>
      <c r="FN205" s="6"/>
      <c r="FO205" s="6"/>
      <c r="FP205" s="6"/>
      <c r="FQ205" s="6"/>
      <c r="FR205" s="6"/>
      <c r="FS205" s="6"/>
      <c r="FT205" s="6"/>
      <c r="FU205" s="6"/>
      <c r="FV205" s="6"/>
      <c r="FW205" s="6"/>
      <c r="FX205" s="6"/>
      <c r="FY205" s="6"/>
      <c r="FZ205" s="6"/>
      <c r="GA205" s="6"/>
      <c r="GB205" s="6"/>
      <c r="GC205" s="6"/>
      <c r="GD205" s="6"/>
      <c r="GE205" s="6"/>
      <c r="GF205" s="6"/>
      <c r="GG205" s="6"/>
      <c r="GH205" s="6"/>
      <c r="GI205" s="6"/>
      <c r="GJ205" s="6"/>
      <c r="GK205" s="6"/>
      <c r="GL205" s="6"/>
    </row>
    <row r="206" spans="1:194" x14ac:dyDescent="0.25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  <c r="AF206" s="67"/>
      <c r="AG206" s="67"/>
      <c r="AH206" s="67"/>
      <c r="AI206" s="67"/>
      <c r="AJ206" s="67"/>
      <c r="AK206" s="67"/>
      <c r="AL206" s="67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  <c r="BI206" s="67"/>
      <c r="BJ206" s="67"/>
      <c r="BK206" s="67"/>
      <c r="BL206" s="67"/>
      <c r="BM206" s="67"/>
      <c r="BN206" s="67"/>
      <c r="BO206" s="67"/>
      <c r="BP206" s="67"/>
      <c r="BQ206" s="67"/>
      <c r="BR206" s="67"/>
      <c r="BS206" s="67"/>
      <c r="BT206" s="67"/>
      <c r="BU206" s="67"/>
      <c r="BV206" s="67"/>
      <c r="BW206" s="67"/>
      <c r="BX206" s="67"/>
      <c r="BY206" s="67"/>
      <c r="BZ206" s="67"/>
      <c r="CA206" s="67"/>
      <c r="CB206" s="67"/>
      <c r="CC206" s="67"/>
      <c r="CD206" s="67"/>
      <c r="CE206" s="67"/>
      <c r="CF206" s="67"/>
      <c r="CG206" s="67"/>
      <c r="CH206" s="67"/>
      <c r="CI206" s="67"/>
      <c r="CJ206" s="67"/>
      <c r="CK206" s="67"/>
      <c r="CL206" s="67"/>
      <c r="CM206" s="67"/>
      <c r="CN206" s="67"/>
      <c r="CO206" s="67"/>
      <c r="CP206" s="67"/>
      <c r="CQ206" s="67"/>
      <c r="CR206" s="67"/>
      <c r="CS206" s="67"/>
      <c r="CT206" s="67"/>
      <c r="CU206" s="67"/>
      <c r="CV206" s="67"/>
      <c r="CW206" s="67"/>
      <c r="CX206" s="67"/>
      <c r="CY206" s="67"/>
      <c r="CZ206" s="67"/>
      <c r="DA206" s="67"/>
      <c r="DB206" s="67"/>
      <c r="DC206" s="67"/>
      <c r="DD206" s="67"/>
      <c r="DE206" s="67"/>
      <c r="DF206" s="67"/>
      <c r="DG206" s="67"/>
      <c r="DH206" s="67"/>
      <c r="DI206" s="67"/>
      <c r="DJ206" s="67"/>
      <c r="DK206" s="67"/>
      <c r="DL206" s="67"/>
      <c r="DM206" s="67"/>
      <c r="DN206" s="67"/>
      <c r="DO206" s="67"/>
      <c r="DP206" s="67"/>
      <c r="DQ206" s="67"/>
      <c r="DR206" s="67"/>
      <c r="DS206" s="67"/>
      <c r="DT206" s="67"/>
      <c r="DU206" s="67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  <c r="ER206" s="6"/>
      <c r="ES206" s="6"/>
      <c r="ET206" s="6"/>
      <c r="EU206" s="6"/>
      <c r="EV206" s="6"/>
      <c r="EW206" s="6"/>
      <c r="EX206" s="6"/>
      <c r="EY206" s="6"/>
      <c r="EZ206" s="6"/>
      <c r="FA206" s="6"/>
      <c r="FB206" s="6"/>
      <c r="FC206" s="6"/>
      <c r="FD206" s="6"/>
      <c r="FE206" s="6"/>
      <c r="FF206" s="6"/>
      <c r="FG206" s="6"/>
      <c r="FH206" s="6"/>
      <c r="FI206" s="6"/>
      <c r="FJ206" s="6"/>
      <c r="FK206" s="6"/>
      <c r="FL206" s="6"/>
      <c r="FM206" s="6"/>
      <c r="FN206" s="6"/>
      <c r="FO206" s="6"/>
      <c r="FP206" s="6"/>
      <c r="FQ206" s="6"/>
      <c r="FR206" s="6"/>
      <c r="FS206" s="6"/>
      <c r="FT206" s="6"/>
      <c r="FU206" s="6"/>
      <c r="FV206" s="6"/>
      <c r="FW206" s="6"/>
      <c r="FX206" s="6"/>
      <c r="FY206" s="6"/>
      <c r="FZ206" s="6"/>
      <c r="GA206" s="6"/>
      <c r="GB206" s="6"/>
      <c r="GC206" s="6"/>
      <c r="GD206" s="6"/>
      <c r="GE206" s="6"/>
      <c r="GF206" s="6"/>
      <c r="GG206" s="6"/>
      <c r="GH206" s="6"/>
      <c r="GI206" s="6"/>
      <c r="GJ206" s="6"/>
      <c r="GK206" s="6"/>
      <c r="GL206" s="6"/>
    </row>
    <row r="207" spans="1:194" x14ac:dyDescent="0.25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  <c r="AF207" s="67"/>
      <c r="AG207" s="67"/>
      <c r="AH207" s="67"/>
      <c r="AI207" s="67"/>
      <c r="AJ207" s="67"/>
      <c r="AK207" s="67"/>
      <c r="AL207" s="67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  <c r="BI207" s="67"/>
      <c r="BJ207" s="67"/>
      <c r="BK207" s="67"/>
      <c r="BL207" s="67"/>
      <c r="BM207" s="67"/>
      <c r="BN207" s="67"/>
      <c r="BO207" s="67"/>
      <c r="BP207" s="67"/>
      <c r="BQ207" s="67"/>
      <c r="BR207" s="67"/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  <c r="CU207" s="67"/>
      <c r="CV207" s="67"/>
      <c r="CW207" s="67"/>
      <c r="CX207" s="67"/>
      <c r="CY207" s="67"/>
      <c r="CZ207" s="67"/>
      <c r="DA207" s="67"/>
      <c r="DB207" s="67"/>
      <c r="DC207" s="67"/>
      <c r="DD207" s="67"/>
      <c r="DE207" s="67"/>
      <c r="DF207" s="67"/>
      <c r="DG207" s="67"/>
      <c r="DH207" s="67"/>
      <c r="DI207" s="67"/>
      <c r="DJ207" s="67"/>
      <c r="DK207" s="67"/>
      <c r="DL207" s="67"/>
      <c r="DM207" s="67"/>
      <c r="DN207" s="67"/>
      <c r="DO207" s="67"/>
      <c r="DP207" s="67"/>
      <c r="DQ207" s="67"/>
      <c r="DR207" s="67"/>
      <c r="DS207" s="67"/>
      <c r="DT207" s="67"/>
      <c r="DU207" s="67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  <c r="ER207" s="6"/>
      <c r="ES207" s="6"/>
      <c r="ET207" s="6"/>
      <c r="EU207" s="6"/>
      <c r="EV207" s="6"/>
      <c r="EW207" s="6"/>
      <c r="EX207" s="6"/>
      <c r="EY207" s="6"/>
      <c r="EZ207" s="6"/>
      <c r="FA207" s="6"/>
      <c r="FB207" s="6"/>
      <c r="FC207" s="6"/>
      <c r="FD207" s="6"/>
      <c r="FE207" s="6"/>
      <c r="FF207" s="6"/>
      <c r="FG207" s="6"/>
      <c r="FH207" s="6"/>
      <c r="FI207" s="6"/>
      <c r="FJ207" s="6"/>
      <c r="FK207" s="6"/>
      <c r="FL207" s="6"/>
      <c r="FM207" s="6"/>
      <c r="FN207" s="6"/>
      <c r="FO207" s="6"/>
      <c r="FP207" s="6"/>
      <c r="FQ207" s="6"/>
      <c r="FR207" s="6"/>
      <c r="FS207" s="6"/>
      <c r="FT207" s="6"/>
      <c r="FU207" s="6"/>
      <c r="FV207" s="6"/>
      <c r="FW207" s="6"/>
      <c r="FX207" s="6"/>
      <c r="FY207" s="6"/>
      <c r="FZ207" s="6"/>
      <c r="GA207" s="6"/>
      <c r="GB207" s="6"/>
      <c r="GC207" s="6"/>
      <c r="GD207" s="6"/>
      <c r="GE207" s="6"/>
      <c r="GF207" s="6"/>
      <c r="GG207" s="6"/>
      <c r="GH207" s="6"/>
      <c r="GI207" s="6"/>
      <c r="GJ207" s="6"/>
      <c r="GK207" s="6"/>
      <c r="GL207" s="6"/>
    </row>
    <row r="208" spans="1:194" x14ac:dyDescent="0.25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  <c r="AD208" s="67"/>
      <c r="AE208" s="67"/>
      <c r="AF208" s="67"/>
      <c r="AG208" s="67"/>
      <c r="AH208" s="67"/>
      <c r="AI208" s="67"/>
      <c r="AJ208" s="67"/>
      <c r="AK208" s="67"/>
      <c r="AL208" s="67"/>
      <c r="AM208" s="67"/>
      <c r="AN208" s="67"/>
      <c r="AO208" s="67"/>
      <c r="AP208" s="67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  <c r="BB208" s="67"/>
      <c r="BC208" s="67"/>
      <c r="BD208" s="67"/>
      <c r="BE208" s="67"/>
      <c r="BF208" s="67"/>
      <c r="BG208" s="67"/>
      <c r="BH208" s="67"/>
      <c r="BI208" s="67"/>
      <c r="BJ208" s="67"/>
      <c r="BK208" s="67"/>
      <c r="BL208" s="67"/>
      <c r="BM208" s="67"/>
      <c r="BN208" s="67"/>
      <c r="BO208" s="67"/>
      <c r="BP208" s="67"/>
      <c r="BQ208" s="67"/>
      <c r="BR208" s="67"/>
      <c r="BS208" s="67"/>
      <c r="BT208" s="67"/>
      <c r="BU208" s="67"/>
      <c r="BV208" s="67"/>
      <c r="BW208" s="67"/>
      <c r="BX208" s="67"/>
      <c r="BY208" s="67"/>
      <c r="BZ208" s="67"/>
      <c r="CA208" s="67"/>
      <c r="CB208" s="67"/>
      <c r="CC208" s="67"/>
      <c r="CD208" s="67"/>
      <c r="CE208" s="67"/>
      <c r="CF208" s="67"/>
      <c r="CG208" s="67"/>
      <c r="CH208" s="67"/>
      <c r="CI208" s="67"/>
      <c r="CJ208" s="67"/>
      <c r="CK208" s="67"/>
      <c r="CL208" s="67"/>
      <c r="CM208" s="67"/>
      <c r="CN208" s="67"/>
      <c r="CO208" s="67"/>
      <c r="CP208" s="67"/>
      <c r="CQ208" s="67"/>
      <c r="CR208" s="67"/>
      <c r="CS208" s="67"/>
      <c r="CT208" s="67"/>
      <c r="CU208" s="67"/>
      <c r="CV208" s="67"/>
      <c r="CW208" s="67"/>
      <c r="CX208" s="67"/>
      <c r="CY208" s="67"/>
      <c r="CZ208" s="67"/>
      <c r="DA208" s="67"/>
      <c r="DB208" s="67"/>
      <c r="DC208" s="67"/>
      <c r="DD208" s="67"/>
      <c r="DE208" s="67"/>
      <c r="DF208" s="67"/>
      <c r="DG208" s="67"/>
      <c r="DH208" s="67"/>
      <c r="DI208" s="67"/>
      <c r="DJ208" s="67"/>
      <c r="DK208" s="67"/>
      <c r="DL208" s="67"/>
      <c r="DM208" s="67"/>
      <c r="DN208" s="67"/>
      <c r="DO208" s="67"/>
      <c r="DP208" s="67"/>
      <c r="DQ208" s="67"/>
      <c r="DR208" s="67"/>
      <c r="DS208" s="67"/>
      <c r="DT208" s="67"/>
      <c r="DU208" s="67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  <c r="ER208" s="6"/>
      <c r="ES208" s="6"/>
      <c r="ET208" s="6"/>
      <c r="EU208" s="6"/>
      <c r="EV208" s="6"/>
      <c r="EW208" s="6"/>
      <c r="EX208" s="6"/>
      <c r="EY208" s="6"/>
      <c r="EZ208" s="6"/>
      <c r="FA208" s="6"/>
      <c r="FB208" s="6"/>
      <c r="FC208" s="6"/>
      <c r="FD208" s="6"/>
      <c r="FE208" s="6"/>
      <c r="FF208" s="6"/>
      <c r="FG208" s="6"/>
      <c r="FH208" s="6"/>
      <c r="FI208" s="6"/>
      <c r="FJ208" s="6"/>
      <c r="FK208" s="6"/>
      <c r="FL208" s="6"/>
      <c r="FM208" s="6"/>
      <c r="FN208" s="6"/>
      <c r="FO208" s="6"/>
      <c r="FP208" s="6"/>
      <c r="FQ208" s="6"/>
      <c r="FR208" s="6"/>
      <c r="FS208" s="6"/>
      <c r="FT208" s="6"/>
      <c r="FU208" s="6"/>
      <c r="FV208" s="6"/>
      <c r="FW208" s="6"/>
      <c r="FX208" s="6"/>
      <c r="FY208" s="6"/>
      <c r="FZ208" s="6"/>
      <c r="GA208" s="6"/>
      <c r="GB208" s="6"/>
      <c r="GC208" s="6"/>
      <c r="GD208" s="6"/>
      <c r="GE208" s="6"/>
      <c r="GF208" s="6"/>
      <c r="GG208" s="6"/>
      <c r="GH208" s="6"/>
      <c r="GI208" s="6"/>
      <c r="GJ208" s="6"/>
      <c r="GK208" s="6"/>
      <c r="GL208" s="6"/>
    </row>
    <row r="209" spans="1:194" x14ac:dyDescent="0.25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  <c r="AF209" s="67"/>
      <c r="AG209" s="67"/>
      <c r="AH209" s="67"/>
      <c r="AI209" s="67"/>
      <c r="AJ209" s="67"/>
      <c r="AK209" s="67"/>
      <c r="AL209" s="67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  <c r="BI209" s="67"/>
      <c r="BJ209" s="67"/>
      <c r="BK209" s="67"/>
      <c r="BL209" s="67"/>
      <c r="BM209" s="67"/>
      <c r="BN209" s="67"/>
      <c r="BO209" s="67"/>
      <c r="BP209" s="67"/>
      <c r="BQ209" s="67"/>
      <c r="BR209" s="67"/>
      <c r="BS209" s="67"/>
      <c r="BT209" s="67"/>
      <c r="BU209" s="67"/>
      <c r="BV209" s="67"/>
      <c r="BW209" s="67"/>
      <c r="BX209" s="67"/>
      <c r="BY209" s="67"/>
      <c r="BZ209" s="67"/>
      <c r="CA209" s="67"/>
      <c r="CB209" s="67"/>
      <c r="CC209" s="67"/>
      <c r="CD209" s="67"/>
      <c r="CE209" s="67"/>
      <c r="CF209" s="67"/>
      <c r="CG209" s="67"/>
      <c r="CH209" s="67"/>
      <c r="CI209" s="67"/>
      <c r="CJ209" s="67"/>
      <c r="CK209" s="67"/>
      <c r="CL209" s="67"/>
      <c r="CM209" s="67"/>
      <c r="CN209" s="67"/>
      <c r="CO209" s="67"/>
      <c r="CP209" s="67"/>
      <c r="CQ209" s="67"/>
      <c r="CR209" s="67"/>
      <c r="CS209" s="67"/>
      <c r="CT209" s="67"/>
      <c r="CU209" s="67"/>
      <c r="CV209" s="67"/>
      <c r="CW209" s="67"/>
      <c r="CX209" s="67"/>
      <c r="CY209" s="67"/>
      <c r="CZ209" s="67"/>
      <c r="DA209" s="67"/>
      <c r="DB209" s="67"/>
      <c r="DC209" s="67"/>
      <c r="DD209" s="67"/>
      <c r="DE209" s="67"/>
      <c r="DF209" s="67"/>
      <c r="DG209" s="67"/>
      <c r="DH209" s="67"/>
      <c r="DI209" s="67"/>
      <c r="DJ209" s="67"/>
      <c r="DK209" s="67"/>
      <c r="DL209" s="67"/>
      <c r="DM209" s="67"/>
      <c r="DN209" s="67"/>
      <c r="DO209" s="67"/>
      <c r="DP209" s="67"/>
      <c r="DQ209" s="67"/>
      <c r="DR209" s="67"/>
      <c r="DS209" s="67"/>
      <c r="DT209" s="67"/>
      <c r="DU209" s="67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  <c r="ER209" s="6"/>
      <c r="ES209" s="6"/>
      <c r="ET209" s="6"/>
      <c r="EU209" s="6"/>
      <c r="EV209" s="6"/>
      <c r="EW209" s="6"/>
      <c r="EX209" s="6"/>
      <c r="EY209" s="6"/>
      <c r="EZ209" s="6"/>
      <c r="FA209" s="6"/>
      <c r="FB209" s="6"/>
      <c r="FC209" s="6"/>
      <c r="FD209" s="6"/>
      <c r="FE209" s="6"/>
      <c r="FF209" s="6"/>
      <c r="FG209" s="6"/>
      <c r="FH209" s="6"/>
      <c r="FI209" s="6"/>
      <c r="FJ209" s="6"/>
      <c r="FK209" s="6"/>
      <c r="FL209" s="6"/>
      <c r="FM209" s="6"/>
      <c r="FN209" s="6"/>
      <c r="FO209" s="6"/>
      <c r="FP209" s="6"/>
      <c r="FQ209" s="6"/>
      <c r="FR209" s="6"/>
      <c r="FS209" s="6"/>
      <c r="FT209" s="6"/>
      <c r="FU209" s="6"/>
      <c r="FV209" s="6"/>
      <c r="FW209" s="6"/>
      <c r="FX209" s="6"/>
      <c r="FY209" s="6"/>
      <c r="FZ209" s="6"/>
      <c r="GA209" s="6"/>
      <c r="GB209" s="6"/>
      <c r="GC209" s="6"/>
      <c r="GD209" s="6"/>
      <c r="GE209" s="6"/>
      <c r="GF209" s="6"/>
      <c r="GG209" s="6"/>
      <c r="GH209" s="6"/>
      <c r="GI209" s="6"/>
      <c r="GJ209" s="6"/>
      <c r="GK209" s="6"/>
      <c r="GL209" s="6"/>
    </row>
    <row r="210" spans="1:194" x14ac:dyDescent="0.25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  <c r="AA210" s="67"/>
      <c r="AB210" s="67"/>
      <c r="AC210" s="67"/>
      <c r="AD210" s="67"/>
      <c r="AE210" s="67"/>
      <c r="AF210" s="67"/>
      <c r="AG210" s="67"/>
      <c r="AH210" s="67"/>
      <c r="AI210" s="67"/>
      <c r="AJ210" s="67"/>
      <c r="AK210" s="67"/>
      <c r="AL210" s="67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  <c r="BI210" s="67"/>
      <c r="BJ210" s="67"/>
      <c r="BK210" s="67"/>
      <c r="BL210" s="67"/>
      <c r="BM210" s="67"/>
      <c r="BN210" s="67"/>
      <c r="BO210" s="67"/>
      <c r="BP210" s="67"/>
      <c r="BQ210" s="67"/>
      <c r="BR210" s="67"/>
      <c r="BS210" s="67"/>
      <c r="BT210" s="67"/>
      <c r="BU210" s="67"/>
      <c r="BV210" s="67"/>
      <c r="BW210" s="67"/>
      <c r="BX210" s="67"/>
      <c r="BY210" s="67"/>
      <c r="BZ210" s="67"/>
      <c r="CA210" s="67"/>
      <c r="CB210" s="67"/>
      <c r="CC210" s="67"/>
      <c r="CD210" s="67"/>
      <c r="CE210" s="67"/>
      <c r="CF210" s="67"/>
      <c r="CG210" s="67"/>
      <c r="CH210" s="67"/>
      <c r="CI210" s="67"/>
      <c r="CJ210" s="67"/>
      <c r="CK210" s="67"/>
      <c r="CL210" s="67"/>
      <c r="CM210" s="67"/>
      <c r="CN210" s="67"/>
      <c r="CO210" s="67"/>
      <c r="CP210" s="67"/>
      <c r="CQ210" s="67"/>
      <c r="CR210" s="67"/>
      <c r="CS210" s="67"/>
      <c r="CT210" s="67"/>
      <c r="CU210" s="67"/>
      <c r="CV210" s="67"/>
      <c r="CW210" s="67"/>
      <c r="CX210" s="67"/>
      <c r="CY210" s="67"/>
      <c r="CZ210" s="67"/>
      <c r="DA210" s="67"/>
      <c r="DB210" s="67"/>
      <c r="DC210" s="67"/>
      <c r="DD210" s="67"/>
      <c r="DE210" s="67"/>
      <c r="DF210" s="67"/>
      <c r="DG210" s="67"/>
      <c r="DH210" s="67"/>
      <c r="DI210" s="67"/>
      <c r="DJ210" s="67"/>
      <c r="DK210" s="67"/>
      <c r="DL210" s="67"/>
      <c r="DM210" s="67"/>
      <c r="DN210" s="67"/>
      <c r="DO210" s="67"/>
      <c r="DP210" s="67"/>
      <c r="DQ210" s="67"/>
      <c r="DR210" s="67"/>
      <c r="DS210" s="67"/>
      <c r="DT210" s="67"/>
      <c r="DU210" s="67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  <c r="ER210" s="6"/>
      <c r="ES210" s="6"/>
      <c r="ET210" s="6"/>
      <c r="EU210" s="6"/>
      <c r="EV210" s="6"/>
      <c r="EW210" s="6"/>
      <c r="EX210" s="6"/>
      <c r="EY210" s="6"/>
      <c r="EZ210" s="6"/>
      <c r="FA210" s="6"/>
      <c r="FB210" s="6"/>
      <c r="FC210" s="6"/>
      <c r="FD210" s="6"/>
      <c r="FE210" s="6"/>
      <c r="FF210" s="6"/>
      <c r="FG210" s="6"/>
      <c r="FH210" s="6"/>
      <c r="FI210" s="6"/>
      <c r="FJ210" s="6"/>
      <c r="FK210" s="6"/>
      <c r="FL210" s="6"/>
      <c r="FM210" s="6"/>
      <c r="FN210" s="6"/>
      <c r="FO210" s="6"/>
      <c r="FP210" s="6"/>
      <c r="FQ210" s="6"/>
      <c r="FR210" s="6"/>
      <c r="FS210" s="6"/>
      <c r="FT210" s="6"/>
      <c r="FU210" s="6"/>
      <c r="FV210" s="6"/>
      <c r="FW210" s="6"/>
      <c r="FX210" s="6"/>
      <c r="FY210" s="6"/>
      <c r="FZ210" s="6"/>
      <c r="GA210" s="6"/>
      <c r="GB210" s="6"/>
      <c r="GC210" s="6"/>
      <c r="GD210" s="6"/>
      <c r="GE210" s="6"/>
      <c r="GF210" s="6"/>
      <c r="GG210" s="6"/>
      <c r="GH210" s="6"/>
      <c r="GI210" s="6"/>
      <c r="GJ210" s="6"/>
      <c r="GK210" s="6"/>
      <c r="GL210" s="6"/>
    </row>
    <row r="211" spans="1:194" x14ac:dyDescent="0.25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  <c r="AA211" s="67"/>
      <c r="AB211" s="67"/>
      <c r="AC211" s="67"/>
      <c r="AD211" s="67"/>
      <c r="AE211" s="67"/>
      <c r="AF211" s="67"/>
      <c r="AG211" s="67"/>
      <c r="AH211" s="67"/>
      <c r="AI211" s="67"/>
      <c r="AJ211" s="67"/>
      <c r="AK211" s="67"/>
      <c r="AL211" s="67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  <c r="BB211" s="67"/>
      <c r="BC211" s="67"/>
      <c r="BD211" s="67"/>
      <c r="BE211" s="67"/>
      <c r="BF211" s="67"/>
      <c r="BG211" s="67"/>
      <c r="BH211" s="67"/>
      <c r="BI211" s="67"/>
      <c r="BJ211" s="67"/>
      <c r="BK211" s="67"/>
      <c r="BL211" s="67"/>
      <c r="BM211" s="67"/>
      <c r="BN211" s="67"/>
      <c r="BO211" s="67"/>
      <c r="BP211" s="67"/>
      <c r="BQ211" s="67"/>
      <c r="BR211" s="67"/>
      <c r="BS211" s="67"/>
      <c r="BT211" s="67"/>
      <c r="BU211" s="67"/>
      <c r="BV211" s="67"/>
      <c r="BW211" s="67"/>
      <c r="BX211" s="67"/>
      <c r="BY211" s="67"/>
      <c r="BZ211" s="67"/>
      <c r="CA211" s="67"/>
      <c r="CB211" s="67"/>
      <c r="CC211" s="67"/>
      <c r="CD211" s="67"/>
      <c r="CE211" s="67"/>
      <c r="CF211" s="67"/>
      <c r="CG211" s="67"/>
      <c r="CH211" s="67"/>
      <c r="CI211" s="67"/>
      <c r="CJ211" s="67"/>
      <c r="CK211" s="67"/>
      <c r="CL211" s="67"/>
      <c r="CM211" s="67"/>
      <c r="CN211" s="67"/>
      <c r="CO211" s="67"/>
      <c r="CP211" s="67"/>
      <c r="CQ211" s="67"/>
      <c r="CR211" s="67"/>
      <c r="CS211" s="67"/>
      <c r="CT211" s="67"/>
      <c r="CU211" s="67"/>
      <c r="CV211" s="67"/>
      <c r="CW211" s="67"/>
      <c r="CX211" s="67"/>
      <c r="CY211" s="67"/>
      <c r="CZ211" s="67"/>
      <c r="DA211" s="67"/>
      <c r="DB211" s="67"/>
      <c r="DC211" s="67"/>
      <c r="DD211" s="67"/>
      <c r="DE211" s="67"/>
      <c r="DF211" s="67"/>
      <c r="DG211" s="67"/>
      <c r="DH211" s="67"/>
      <c r="DI211" s="67"/>
      <c r="DJ211" s="67"/>
      <c r="DK211" s="67"/>
      <c r="DL211" s="67"/>
      <c r="DM211" s="67"/>
      <c r="DN211" s="67"/>
      <c r="DO211" s="67"/>
      <c r="DP211" s="67"/>
      <c r="DQ211" s="67"/>
      <c r="DR211" s="67"/>
      <c r="DS211" s="67"/>
      <c r="DT211" s="67"/>
      <c r="DU211" s="67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  <c r="ER211" s="6"/>
      <c r="ES211" s="6"/>
      <c r="ET211" s="6"/>
      <c r="EU211" s="6"/>
      <c r="EV211" s="6"/>
      <c r="EW211" s="6"/>
      <c r="EX211" s="6"/>
      <c r="EY211" s="6"/>
      <c r="EZ211" s="6"/>
      <c r="FA211" s="6"/>
      <c r="FB211" s="6"/>
      <c r="FC211" s="6"/>
      <c r="FD211" s="6"/>
      <c r="FE211" s="6"/>
      <c r="FF211" s="6"/>
      <c r="FG211" s="6"/>
      <c r="FH211" s="6"/>
      <c r="FI211" s="6"/>
      <c r="FJ211" s="6"/>
      <c r="FK211" s="6"/>
      <c r="FL211" s="6"/>
      <c r="FM211" s="6"/>
      <c r="FN211" s="6"/>
      <c r="FO211" s="6"/>
      <c r="FP211" s="6"/>
      <c r="FQ211" s="6"/>
      <c r="FR211" s="6"/>
      <c r="FS211" s="6"/>
      <c r="FT211" s="6"/>
      <c r="FU211" s="6"/>
      <c r="FV211" s="6"/>
      <c r="FW211" s="6"/>
      <c r="FX211" s="6"/>
      <c r="FY211" s="6"/>
      <c r="FZ211" s="6"/>
      <c r="GA211" s="6"/>
      <c r="GB211" s="6"/>
      <c r="GC211" s="6"/>
      <c r="GD211" s="6"/>
      <c r="GE211" s="6"/>
      <c r="GF211" s="6"/>
      <c r="GG211" s="6"/>
      <c r="GH211" s="6"/>
      <c r="GI211" s="6"/>
      <c r="GJ211" s="6"/>
      <c r="GK211" s="6"/>
      <c r="GL211" s="6"/>
    </row>
    <row r="212" spans="1:194" x14ac:dyDescent="0.25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  <c r="AA212" s="67"/>
      <c r="AB212" s="67"/>
      <c r="AC212" s="67"/>
      <c r="AD212" s="67"/>
      <c r="AE212" s="67"/>
      <c r="AF212" s="67"/>
      <c r="AG212" s="67"/>
      <c r="AH212" s="67"/>
      <c r="AI212" s="67"/>
      <c r="AJ212" s="67"/>
      <c r="AK212" s="67"/>
      <c r="AL212" s="67"/>
      <c r="AM212" s="67"/>
      <c r="AN212" s="67"/>
      <c r="AO212" s="67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  <c r="BB212" s="67"/>
      <c r="BC212" s="67"/>
      <c r="BD212" s="67"/>
      <c r="BE212" s="67"/>
      <c r="BF212" s="67"/>
      <c r="BG212" s="67"/>
      <c r="BH212" s="67"/>
      <c r="BI212" s="67"/>
      <c r="BJ212" s="67"/>
      <c r="BK212" s="67"/>
      <c r="BL212" s="67"/>
      <c r="BM212" s="67"/>
      <c r="BN212" s="67"/>
      <c r="BO212" s="67"/>
      <c r="BP212" s="67"/>
      <c r="BQ212" s="67"/>
      <c r="BR212" s="67"/>
      <c r="BS212" s="67"/>
      <c r="BT212" s="67"/>
      <c r="BU212" s="67"/>
      <c r="BV212" s="67"/>
      <c r="BW212" s="67"/>
      <c r="BX212" s="67"/>
      <c r="BY212" s="67"/>
      <c r="BZ212" s="67"/>
      <c r="CA212" s="67"/>
      <c r="CB212" s="67"/>
      <c r="CC212" s="67"/>
      <c r="CD212" s="67"/>
      <c r="CE212" s="67"/>
      <c r="CF212" s="67"/>
      <c r="CG212" s="67"/>
      <c r="CH212" s="67"/>
      <c r="CI212" s="67"/>
      <c r="CJ212" s="67"/>
      <c r="CK212" s="67"/>
      <c r="CL212" s="67"/>
      <c r="CM212" s="67"/>
      <c r="CN212" s="67"/>
      <c r="CO212" s="67"/>
      <c r="CP212" s="67"/>
      <c r="CQ212" s="67"/>
      <c r="CR212" s="67"/>
      <c r="CS212" s="67"/>
      <c r="CT212" s="67"/>
      <c r="CU212" s="67"/>
      <c r="CV212" s="67"/>
      <c r="CW212" s="67"/>
      <c r="CX212" s="67"/>
      <c r="CY212" s="67"/>
      <c r="CZ212" s="67"/>
      <c r="DA212" s="67"/>
      <c r="DB212" s="67"/>
      <c r="DC212" s="67"/>
      <c r="DD212" s="67"/>
      <c r="DE212" s="67"/>
      <c r="DF212" s="67"/>
      <c r="DG212" s="67"/>
      <c r="DH212" s="67"/>
      <c r="DI212" s="67"/>
      <c r="DJ212" s="67"/>
      <c r="DK212" s="67"/>
      <c r="DL212" s="67"/>
      <c r="DM212" s="67"/>
      <c r="DN212" s="67"/>
      <c r="DO212" s="67"/>
      <c r="DP212" s="67"/>
      <c r="DQ212" s="67"/>
      <c r="DR212" s="67"/>
      <c r="DS212" s="67"/>
      <c r="DT212" s="67"/>
      <c r="DU212" s="67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  <c r="ER212" s="6"/>
      <c r="ES212" s="6"/>
      <c r="ET212" s="6"/>
      <c r="EU212" s="6"/>
      <c r="EV212" s="6"/>
      <c r="EW212" s="6"/>
      <c r="EX212" s="6"/>
      <c r="EY212" s="6"/>
      <c r="EZ212" s="6"/>
      <c r="FA212" s="6"/>
      <c r="FB212" s="6"/>
      <c r="FC212" s="6"/>
      <c r="FD212" s="6"/>
      <c r="FE212" s="6"/>
      <c r="FF212" s="6"/>
      <c r="FG212" s="6"/>
      <c r="FH212" s="6"/>
      <c r="FI212" s="6"/>
      <c r="FJ212" s="6"/>
      <c r="FK212" s="6"/>
      <c r="FL212" s="6"/>
      <c r="FM212" s="6"/>
      <c r="FN212" s="6"/>
      <c r="FO212" s="6"/>
      <c r="FP212" s="6"/>
      <c r="FQ212" s="6"/>
      <c r="FR212" s="6"/>
      <c r="FS212" s="6"/>
      <c r="FT212" s="6"/>
      <c r="FU212" s="6"/>
      <c r="FV212" s="6"/>
      <c r="FW212" s="6"/>
      <c r="FX212" s="6"/>
      <c r="FY212" s="6"/>
      <c r="FZ212" s="6"/>
      <c r="GA212" s="6"/>
      <c r="GB212" s="6"/>
      <c r="GC212" s="6"/>
      <c r="GD212" s="6"/>
      <c r="GE212" s="6"/>
      <c r="GF212" s="6"/>
      <c r="GG212" s="6"/>
      <c r="GH212" s="6"/>
      <c r="GI212" s="6"/>
      <c r="GJ212" s="6"/>
      <c r="GK212" s="6"/>
      <c r="GL212" s="6"/>
    </row>
    <row r="213" spans="1:194" x14ac:dyDescent="0.25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  <c r="AA213" s="67"/>
      <c r="AB213" s="67"/>
      <c r="AC213" s="67"/>
      <c r="AD213" s="67"/>
      <c r="AE213" s="67"/>
      <c r="AF213" s="67"/>
      <c r="AG213" s="67"/>
      <c r="AH213" s="67"/>
      <c r="AI213" s="67"/>
      <c r="AJ213" s="67"/>
      <c r="AK213" s="67"/>
      <c r="AL213" s="67"/>
      <c r="AM213" s="67"/>
      <c r="AN213" s="67"/>
      <c r="AO213" s="67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  <c r="BB213" s="67"/>
      <c r="BC213" s="67"/>
      <c r="BD213" s="67"/>
      <c r="BE213" s="67"/>
      <c r="BF213" s="67"/>
      <c r="BG213" s="67"/>
      <c r="BH213" s="67"/>
      <c r="BI213" s="67"/>
      <c r="BJ213" s="67"/>
      <c r="BK213" s="67"/>
      <c r="BL213" s="67"/>
      <c r="BM213" s="67"/>
      <c r="BN213" s="67"/>
      <c r="BO213" s="67"/>
      <c r="BP213" s="67"/>
      <c r="BQ213" s="67"/>
      <c r="BR213" s="67"/>
      <c r="BS213" s="67"/>
      <c r="BT213" s="67"/>
      <c r="BU213" s="67"/>
      <c r="BV213" s="67"/>
      <c r="BW213" s="67"/>
      <c r="BX213" s="67"/>
      <c r="BY213" s="67"/>
      <c r="BZ213" s="67"/>
      <c r="CA213" s="67"/>
      <c r="CB213" s="67"/>
      <c r="CC213" s="67"/>
      <c r="CD213" s="67"/>
      <c r="CE213" s="67"/>
      <c r="CF213" s="67"/>
      <c r="CG213" s="67"/>
      <c r="CH213" s="67"/>
      <c r="CI213" s="67"/>
      <c r="CJ213" s="67"/>
      <c r="CK213" s="67"/>
      <c r="CL213" s="67"/>
      <c r="CM213" s="67"/>
      <c r="CN213" s="67"/>
      <c r="CO213" s="67"/>
      <c r="CP213" s="67"/>
      <c r="CQ213" s="67"/>
      <c r="CR213" s="67"/>
      <c r="CS213" s="67"/>
      <c r="CT213" s="67"/>
      <c r="CU213" s="67"/>
      <c r="CV213" s="67"/>
      <c r="CW213" s="67"/>
      <c r="CX213" s="67"/>
      <c r="CY213" s="67"/>
      <c r="CZ213" s="67"/>
      <c r="DA213" s="67"/>
      <c r="DB213" s="67"/>
      <c r="DC213" s="67"/>
      <c r="DD213" s="67"/>
      <c r="DE213" s="67"/>
      <c r="DF213" s="67"/>
      <c r="DG213" s="67"/>
      <c r="DH213" s="67"/>
      <c r="DI213" s="67"/>
      <c r="DJ213" s="67"/>
      <c r="DK213" s="67"/>
      <c r="DL213" s="67"/>
      <c r="DM213" s="67"/>
      <c r="DN213" s="67"/>
      <c r="DO213" s="67"/>
      <c r="DP213" s="67"/>
      <c r="DQ213" s="67"/>
      <c r="DR213" s="67"/>
      <c r="DS213" s="67"/>
      <c r="DT213" s="67"/>
      <c r="DU213" s="67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  <c r="ER213" s="6"/>
      <c r="ES213" s="6"/>
      <c r="ET213" s="6"/>
      <c r="EU213" s="6"/>
      <c r="EV213" s="6"/>
      <c r="EW213" s="6"/>
      <c r="EX213" s="6"/>
      <c r="EY213" s="6"/>
      <c r="EZ213" s="6"/>
      <c r="FA213" s="6"/>
      <c r="FB213" s="6"/>
      <c r="FC213" s="6"/>
      <c r="FD213" s="6"/>
      <c r="FE213" s="6"/>
      <c r="FF213" s="6"/>
      <c r="FG213" s="6"/>
      <c r="FH213" s="6"/>
      <c r="FI213" s="6"/>
      <c r="FJ213" s="6"/>
      <c r="FK213" s="6"/>
      <c r="FL213" s="6"/>
      <c r="FM213" s="6"/>
      <c r="FN213" s="6"/>
      <c r="FO213" s="6"/>
      <c r="FP213" s="6"/>
      <c r="FQ213" s="6"/>
      <c r="FR213" s="6"/>
      <c r="FS213" s="6"/>
      <c r="FT213" s="6"/>
      <c r="FU213" s="6"/>
      <c r="FV213" s="6"/>
      <c r="FW213" s="6"/>
      <c r="FX213" s="6"/>
      <c r="FY213" s="6"/>
      <c r="FZ213" s="6"/>
      <c r="GA213" s="6"/>
      <c r="GB213" s="6"/>
      <c r="GC213" s="6"/>
      <c r="GD213" s="6"/>
      <c r="GE213" s="6"/>
      <c r="GF213" s="6"/>
      <c r="GG213" s="6"/>
      <c r="GH213" s="6"/>
      <c r="GI213" s="6"/>
      <c r="GJ213" s="6"/>
      <c r="GK213" s="6"/>
      <c r="GL213" s="6"/>
    </row>
    <row r="214" spans="1:194" x14ac:dyDescent="0.25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  <c r="AA214" s="67"/>
      <c r="AB214" s="67"/>
      <c r="AC214" s="67"/>
      <c r="AD214" s="67"/>
      <c r="AE214" s="67"/>
      <c r="AF214" s="67"/>
      <c r="AG214" s="67"/>
      <c r="AH214" s="67"/>
      <c r="AI214" s="67"/>
      <c r="AJ214" s="67"/>
      <c r="AK214" s="67"/>
      <c r="AL214" s="67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  <c r="BB214" s="67"/>
      <c r="BC214" s="67"/>
      <c r="BD214" s="67"/>
      <c r="BE214" s="67"/>
      <c r="BF214" s="67"/>
      <c r="BG214" s="67"/>
      <c r="BH214" s="67"/>
      <c r="BI214" s="67"/>
      <c r="BJ214" s="67"/>
      <c r="BK214" s="67"/>
      <c r="BL214" s="67"/>
      <c r="BM214" s="67"/>
      <c r="BN214" s="67"/>
      <c r="BO214" s="67"/>
      <c r="BP214" s="67"/>
      <c r="BQ214" s="67"/>
      <c r="BR214" s="67"/>
      <c r="BS214" s="67"/>
      <c r="BT214" s="67"/>
      <c r="BU214" s="67"/>
      <c r="BV214" s="67"/>
      <c r="BW214" s="67"/>
      <c r="BX214" s="67"/>
      <c r="BY214" s="67"/>
      <c r="BZ214" s="67"/>
      <c r="CA214" s="67"/>
      <c r="CB214" s="67"/>
      <c r="CC214" s="67"/>
      <c r="CD214" s="67"/>
      <c r="CE214" s="67"/>
      <c r="CF214" s="67"/>
      <c r="CG214" s="67"/>
      <c r="CH214" s="67"/>
      <c r="CI214" s="67"/>
      <c r="CJ214" s="67"/>
      <c r="CK214" s="67"/>
      <c r="CL214" s="67"/>
      <c r="CM214" s="67"/>
      <c r="CN214" s="67"/>
      <c r="CO214" s="67"/>
      <c r="CP214" s="67"/>
      <c r="CQ214" s="67"/>
      <c r="CR214" s="67"/>
      <c r="CS214" s="67"/>
      <c r="CT214" s="67"/>
      <c r="CU214" s="67"/>
      <c r="CV214" s="67"/>
      <c r="CW214" s="67"/>
      <c r="CX214" s="67"/>
      <c r="CY214" s="67"/>
      <c r="CZ214" s="67"/>
      <c r="DA214" s="67"/>
      <c r="DB214" s="67"/>
      <c r="DC214" s="67"/>
      <c r="DD214" s="67"/>
      <c r="DE214" s="67"/>
      <c r="DF214" s="67"/>
      <c r="DG214" s="67"/>
      <c r="DH214" s="67"/>
      <c r="DI214" s="67"/>
      <c r="DJ214" s="67"/>
      <c r="DK214" s="67"/>
      <c r="DL214" s="67"/>
      <c r="DM214" s="67"/>
      <c r="DN214" s="67"/>
      <c r="DO214" s="67"/>
      <c r="DP214" s="67"/>
      <c r="DQ214" s="67"/>
      <c r="DR214" s="67"/>
      <c r="DS214" s="67"/>
      <c r="DT214" s="67"/>
      <c r="DU214" s="67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  <c r="ER214" s="6"/>
      <c r="ES214" s="6"/>
      <c r="ET214" s="6"/>
      <c r="EU214" s="6"/>
      <c r="EV214" s="6"/>
      <c r="EW214" s="6"/>
      <c r="EX214" s="6"/>
      <c r="EY214" s="6"/>
      <c r="EZ214" s="6"/>
      <c r="FA214" s="6"/>
      <c r="FB214" s="6"/>
      <c r="FC214" s="6"/>
      <c r="FD214" s="6"/>
      <c r="FE214" s="6"/>
      <c r="FF214" s="6"/>
      <c r="FG214" s="6"/>
      <c r="FH214" s="6"/>
      <c r="FI214" s="6"/>
      <c r="FJ214" s="6"/>
      <c r="FK214" s="6"/>
      <c r="FL214" s="6"/>
      <c r="FM214" s="6"/>
      <c r="FN214" s="6"/>
      <c r="FO214" s="6"/>
      <c r="FP214" s="6"/>
      <c r="FQ214" s="6"/>
      <c r="FR214" s="6"/>
      <c r="FS214" s="6"/>
      <c r="FT214" s="6"/>
      <c r="FU214" s="6"/>
      <c r="FV214" s="6"/>
      <c r="FW214" s="6"/>
      <c r="FX214" s="6"/>
      <c r="FY214" s="6"/>
      <c r="FZ214" s="6"/>
      <c r="GA214" s="6"/>
      <c r="GB214" s="6"/>
      <c r="GC214" s="6"/>
      <c r="GD214" s="6"/>
      <c r="GE214" s="6"/>
      <c r="GF214" s="6"/>
      <c r="GG214" s="6"/>
      <c r="GH214" s="6"/>
      <c r="GI214" s="6"/>
      <c r="GJ214" s="6"/>
      <c r="GK214" s="6"/>
      <c r="GL214" s="6"/>
    </row>
    <row r="215" spans="1:194" x14ac:dyDescent="0.25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  <c r="AA215" s="67"/>
      <c r="AB215" s="67"/>
      <c r="AC215" s="67"/>
      <c r="AD215" s="67"/>
      <c r="AE215" s="67"/>
      <c r="AF215" s="67"/>
      <c r="AG215" s="67"/>
      <c r="AH215" s="67"/>
      <c r="AI215" s="67"/>
      <c r="AJ215" s="67"/>
      <c r="AK215" s="67"/>
      <c r="AL215" s="67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  <c r="BB215" s="67"/>
      <c r="BC215" s="67"/>
      <c r="BD215" s="67"/>
      <c r="BE215" s="67"/>
      <c r="BF215" s="67"/>
      <c r="BG215" s="67"/>
      <c r="BH215" s="67"/>
      <c r="BI215" s="67"/>
      <c r="BJ215" s="67"/>
      <c r="BK215" s="67"/>
      <c r="BL215" s="67"/>
      <c r="BM215" s="67"/>
      <c r="BN215" s="67"/>
      <c r="BO215" s="67"/>
      <c r="BP215" s="67"/>
      <c r="BQ215" s="67"/>
      <c r="BR215" s="67"/>
      <c r="BS215" s="67"/>
      <c r="BT215" s="67"/>
      <c r="BU215" s="67"/>
      <c r="BV215" s="67"/>
      <c r="BW215" s="67"/>
      <c r="BX215" s="67"/>
      <c r="BY215" s="67"/>
      <c r="BZ215" s="67"/>
      <c r="CA215" s="67"/>
      <c r="CB215" s="67"/>
      <c r="CC215" s="67"/>
      <c r="CD215" s="67"/>
      <c r="CE215" s="67"/>
      <c r="CF215" s="67"/>
      <c r="CG215" s="67"/>
      <c r="CH215" s="67"/>
      <c r="CI215" s="67"/>
      <c r="CJ215" s="67"/>
      <c r="CK215" s="67"/>
      <c r="CL215" s="67"/>
      <c r="CM215" s="67"/>
      <c r="CN215" s="67"/>
      <c r="CO215" s="67"/>
      <c r="CP215" s="67"/>
      <c r="CQ215" s="67"/>
      <c r="CR215" s="67"/>
      <c r="CS215" s="67"/>
      <c r="CT215" s="67"/>
      <c r="CU215" s="67"/>
      <c r="CV215" s="67"/>
      <c r="CW215" s="67"/>
      <c r="CX215" s="67"/>
      <c r="CY215" s="67"/>
      <c r="CZ215" s="67"/>
      <c r="DA215" s="67"/>
      <c r="DB215" s="67"/>
      <c r="DC215" s="67"/>
      <c r="DD215" s="67"/>
      <c r="DE215" s="67"/>
      <c r="DF215" s="67"/>
      <c r="DG215" s="67"/>
      <c r="DH215" s="67"/>
      <c r="DI215" s="67"/>
      <c r="DJ215" s="67"/>
      <c r="DK215" s="67"/>
      <c r="DL215" s="67"/>
      <c r="DM215" s="67"/>
      <c r="DN215" s="67"/>
      <c r="DO215" s="67"/>
      <c r="DP215" s="67"/>
      <c r="DQ215" s="67"/>
      <c r="DR215" s="67"/>
      <c r="DS215" s="67"/>
      <c r="DT215" s="67"/>
      <c r="DU215" s="67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  <c r="ER215" s="6"/>
      <c r="ES215" s="6"/>
      <c r="ET215" s="6"/>
      <c r="EU215" s="6"/>
      <c r="EV215" s="6"/>
      <c r="EW215" s="6"/>
      <c r="EX215" s="6"/>
      <c r="EY215" s="6"/>
      <c r="EZ215" s="6"/>
      <c r="FA215" s="6"/>
      <c r="FB215" s="6"/>
      <c r="FC215" s="6"/>
      <c r="FD215" s="6"/>
      <c r="FE215" s="6"/>
      <c r="FF215" s="6"/>
      <c r="FG215" s="6"/>
      <c r="FH215" s="6"/>
      <c r="FI215" s="6"/>
      <c r="FJ215" s="6"/>
      <c r="FK215" s="6"/>
      <c r="FL215" s="6"/>
      <c r="FM215" s="6"/>
      <c r="FN215" s="6"/>
      <c r="FO215" s="6"/>
      <c r="FP215" s="6"/>
      <c r="FQ215" s="6"/>
      <c r="FR215" s="6"/>
      <c r="FS215" s="6"/>
      <c r="FT215" s="6"/>
      <c r="FU215" s="6"/>
      <c r="FV215" s="6"/>
      <c r="FW215" s="6"/>
      <c r="FX215" s="6"/>
      <c r="FY215" s="6"/>
      <c r="FZ215" s="6"/>
      <c r="GA215" s="6"/>
      <c r="GB215" s="6"/>
      <c r="GC215" s="6"/>
      <c r="GD215" s="6"/>
      <c r="GE215" s="6"/>
      <c r="GF215" s="6"/>
      <c r="GG215" s="6"/>
      <c r="GH215" s="6"/>
      <c r="GI215" s="6"/>
      <c r="GJ215" s="6"/>
      <c r="GK215" s="6"/>
      <c r="GL215" s="6"/>
    </row>
    <row r="216" spans="1:194" x14ac:dyDescent="0.25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  <c r="AF216" s="67"/>
      <c r="AG216" s="67"/>
      <c r="AH216" s="67"/>
      <c r="AI216" s="67"/>
      <c r="AJ216" s="67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  <c r="BI216" s="67"/>
      <c r="BJ216" s="67"/>
      <c r="BK216" s="67"/>
      <c r="BL216" s="67"/>
      <c r="BM216" s="67"/>
      <c r="BN216" s="67"/>
      <c r="BO216" s="67"/>
      <c r="BP216" s="67"/>
      <c r="BQ216" s="67"/>
      <c r="BR216" s="67"/>
      <c r="BS216" s="67"/>
      <c r="BT216" s="67"/>
      <c r="BU216" s="67"/>
      <c r="BV216" s="67"/>
      <c r="BW216" s="67"/>
      <c r="BX216" s="67"/>
      <c r="BY216" s="67"/>
      <c r="BZ216" s="67"/>
      <c r="CA216" s="67"/>
      <c r="CB216" s="67"/>
      <c r="CC216" s="67"/>
      <c r="CD216" s="67"/>
      <c r="CE216" s="67"/>
      <c r="CF216" s="67"/>
      <c r="CG216" s="67"/>
      <c r="CH216" s="67"/>
      <c r="CI216" s="67"/>
      <c r="CJ216" s="67"/>
      <c r="CK216" s="67"/>
      <c r="CL216" s="67"/>
      <c r="CM216" s="67"/>
      <c r="CN216" s="67"/>
      <c r="CO216" s="67"/>
      <c r="CP216" s="67"/>
      <c r="CQ216" s="67"/>
      <c r="CR216" s="67"/>
      <c r="CS216" s="67"/>
      <c r="CT216" s="67"/>
      <c r="CU216" s="67"/>
      <c r="CV216" s="67"/>
      <c r="CW216" s="67"/>
      <c r="CX216" s="67"/>
      <c r="CY216" s="67"/>
      <c r="CZ216" s="67"/>
      <c r="DA216" s="67"/>
      <c r="DB216" s="67"/>
      <c r="DC216" s="67"/>
      <c r="DD216" s="67"/>
      <c r="DE216" s="67"/>
      <c r="DF216" s="67"/>
      <c r="DG216" s="67"/>
      <c r="DH216" s="67"/>
      <c r="DI216" s="67"/>
      <c r="DJ216" s="67"/>
      <c r="DK216" s="67"/>
      <c r="DL216" s="67"/>
      <c r="DM216" s="67"/>
      <c r="DN216" s="67"/>
      <c r="DO216" s="67"/>
      <c r="DP216" s="67"/>
      <c r="DQ216" s="67"/>
      <c r="DR216" s="67"/>
      <c r="DS216" s="67"/>
      <c r="DT216" s="67"/>
      <c r="DU216" s="67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  <c r="ER216" s="6"/>
      <c r="ES216" s="6"/>
      <c r="ET216" s="6"/>
      <c r="EU216" s="6"/>
      <c r="EV216" s="6"/>
      <c r="EW216" s="6"/>
      <c r="EX216" s="6"/>
      <c r="EY216" s="6"/>
      <c r="EZ216" s="6"/>
      <c r="FA216" s="6"/>
      <c r="FB216" s="6"/>
      <c r="FC216" s="6"/>
      <c r="FD216" s="6"/>
      <c r="FE216" s="6"/>
      <c r="FF216" s="6"/>
      <c r="FG216" s="6"/>
      <c r="FH216" s="6"/>
      <c r="FI216" s="6"/>
      <c r="FJ216" s="6"/>
      <c r="FK216" s="6"/>
      <c r="FL216" s="6"/>
      <c r="FM216" s="6"/>
      <c r="FN216" s="6"/>
      <c r="FO216" s="6"/>
      <c r="FP216" s="6"/>
      <c r="FQ216" s="6"/>
      <c r="FR216" s="6"/>
      <c r="FS216" s="6"/>
      <c r="FT216" s="6"/>
      <c r="FU216" s="6"/>
      <c r="FV216" s="6"/>
      <c r="FW216" s="6"/>
      <c r="FX216" s="6"/>
      <c r="FY216" s="6"/>
      <c r="FZ216" s="6"/>
      <c r="GA216" s="6"/>
      <c r="GB216" s="6"/>
      <c r="GC216" s="6"/>
      <c r="GD216" s="6"/>
      <c r="GE216" s="6"/>
      <c r="GF216" s="6"/>
      <c r="GG216" s="6"/>
      <c r="GH216" s="6"/>
      <c r="GI216" s="6"/>
      <c r="GJ216" s="6"/>
      <c r="GK216" s="6"/>
      <c r="GL216" s="6"/>
    </row>
    <row r="217" spans="1:194" x14ac:dyDescent="0.25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  <c r="AA217" s="67"/>
      <c r="AB217" s="67"/>
      <c r="AC217" s="67"/>
      <c r="AD217" s="67"/>
      <c r="AE217" s="67"/>
      <c r="AF217" s="67"/>
      <c r="AG217" s="67"/>
      <c r="AH217" s="67"/>
      <c r="AI217" s="67"/>
      <c r="AJ217" s="67"/>
      <c r="AK217" s="67"/>
      <c r="AL217" s="67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  <c r="BB217" s="67"/>
      <c r="BC217" s="67"/>
      <c r="BD217" s="67"/>
      <c r="BE217" s="67"/>
      <c r="BF217" s="67"/>
      <c r="BG217" s="67"/>
      <c r="BH217" s="67"/>
      <c r="BI217" s="67"/>
      <c r="BJ217" s="67"/>
      <c r="BK217" s="67"/>
      <c r="BL217" s="67"/>
      <c r="BM217" s="67"/>
      <c r="BN217" s="67"/>
      <c r="BO217" s="67"/>
      <c r="BP217" s="67"/>
      <c r="BQ217" s="67"/>
      <c r="BR217" s="67"/>
      <c r="BS217" s="67"/>
      <c r="BT217" s="67"/>
      <c r="BU217" s="67"/>
      <c r="BV217" s="67"/>
      <c r="BW217" s="67"/>
      <c r="BX217" s="67"/>
      <c r="BY217" s="67"/>
      <c r="BZ217" s="67"/>
      <c r="CA217" s="67"/>
      <c r="CB217" s="67"/>
      <c r="CC217" s="67"/>
      <c r="CD217" s="67"/>
      <c r="CE217" s="67"/>
      <c r="CF217" s="67"/>
      <c r="CG217" s="67"/>
      <c r="CH217" s="67"/>
      <c r="CI217" s="67"/>
      <c r="CJ217" s="67"/>
      <c r="CK217" s="67"/>
      <c r="CL217" s="67"/>
      <c r="CM217" s="67"/>
      <c r="CN217" s="67"/>
      <c r="CO217" s="67"/>
      <c r="CP217" s="67"/>
      <c r="CQ217" s="67"/>
      <c r="CR217" s="67"/>
      <c r="CS217" s="67"/>
      <c r="CT217" s="67"/>
      <c r="CU217" s="67"/>
      <c r="CV217" s="67"/>
      <c r="CW217" s="67"/>
      <c r="CX217" s="67"/>
      <c r="CY217" s="67"/>
      <c r="CZ217" s="67"/>
      <c r="DA217" s="67"/>
      <c r="DB217" s="67"/>
      <c r="DC217" s="67"/>
      <c r="DD217" s="67"/>
      <c r="DE217" s="67"/>
      <c r="DF217" s="67"/>
      <c r="DG217" s="67"/>
      <c r="DH217" s="67"/>
      <c r="DI217" s="67"/>
      <c r="DJ217" s="67"/>
      <c r="DK217" s="67"/>
      <c r="DL217" s="67"/>
      <c r="DM217" s="67"/>
      <c r="DN217" s="67"/>
      <c r="DO217" s="67"/>
      <c r="DP217" s="67"/>
      <c r="DQ217" s="67"/>
      <c r="DR217" s="67"/>
      <c r="DS217" s="67"/>
      <c r="DT217" s="67"/>
      <c r="DU217" s="67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</row>
    <row r="218" spans="1:194" x14ac:dyDescent="0.25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  <c r="AA218" s="67"/>
      <c r="AB218" s="67"/>
      <c r="AC218" s="67"/>
      <c r="AD218" s="67"/>
      <c r="AE218" s="67"/>
      <c r="AF218" s="67"/>
      <c r="AG218" s="67"/>
      <c r="AH218" s="67"/>
      <c r="AI218" s="67"/>
      <c r="AJ218" s="67"/>
      <c r="AK218" s="67"/>
      <c r="AL218" s="67"/>
      <c r="AM218" s="67"/>
      <c r="AN218" s="67"/>
      <c r="AO218" s="67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  <c r="BB218" s="67"/>
      <c r="BC218" s="67"/>
      <c r="BD218" s="67"/>
      <c r="BE218" s="67"/>
      <c r="BF218" s="67"/>
      <c r="BG218" s="67"/>
      <c r="BH218" s="67"/>
      <c r="BI218" s="67"/>
      <c r="BJ218" s="67"/>
      <c r="BK218" s="67"/>
      <c r="BL218" s="67"/>
      <c r="BM218" s="67"/>
      <c r="BN218" s="67"/>
      <c r="BO218" s="67"/>
      <c r="BP218" s="67"/>
      <c r="BQ218" s="67"/>
      <c r="BR218" s="67"/>
      <c r="BS218" s="67"/>
      <c r="BT218" s="67"/>
      <c r="BU218" s="67"/>
      <c r="BV218" s="67"/>
      <c r="BW218" s="67"/>
      <c r="BX218" s="67"/>
      <c r="BY218" s="67"/>
      <c r="BZ218" s="67"/>
      <c r="CA218" s="67"/>
      <c r="CB218" s="67"/>
      <c r="CC218" s="67"/>
      <c r="CD218" s="67"/>
      <c r="CE218" s="67"/>
      <c r="CF218" s="67"/>
      <c r="CG218" s="67"/>
      <c r="CH218" s="67"/>
      <c r="CI218" s="67"/>
      <c r="CJ218" s="67"/>
      <c r="CK218" s="67"/>
      <c r="CL218" s="67"/>
      <c r="CM218" s="67"/>
      <c r="CN218" s="67"/>
      <c r="CO218" s="67"/>
      <c r="CP218" s="67"/>
      <c r="CQ218" s="67"/>
      <c r="CR218" s="67"/>
      <c r="CS218" s="67"/>
      <c r="CT218" s="67"/>
      <c r="CU218" s="67"/>
      <c r="CV218" s="67"/>
      <c r="CW218" s="67"/>
      <c r="CX218" s="67"/>
      <c r="CY218" s="67"/>
      <c r="CZ218" s="67"/>
      <c r="DA218" s="67"/>
      <c r="DB218" s="67"/>
      <c r="DC218" s="67"/>
      <c r="DD218" s="67"/>
      <c r="DE218" s="67"/>
      <c r="DF218" s="67"/>
      <c r="DG218" s="67"/>
      <c r="DH218" s="67"/>
      <c r="DI218" s="67"/>
      <c r="DJ218" s="67"/>
      <c r="DK218" s="67"/>
      <c r="DL218" s="67"/>
      <c r="DM218" s="67"/>
      <c r="DN218" s="67"/>
      <c r="DO218" s="67"/>
      <c r="DP218" s="67"/>
      <c r="DQ218" s="67"/>
      <c r="DR218" s="67"/>
      <c r="DS218" s="67"/>
      <c r="DT218" s="67"/>
      <c r="DU218" s="67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  <c r="ER218" s="6"/>
      <c r="ES218" s="6"/>
      <c r="ET218" s="6"/>
      <c r="EU218" s="6"/>
      <c r="EV218" s="6"/>
      <c r="EW218" s="6"/>
      <c r="EX218" s="6"/>
      <c r="EY218" s="6"/>
      <c r="EZ218" s="6"/>
      <c r="FA218" s="6"/>
      <c r="FB218" s="6"/>
      <c r="FC218" s="6"/>
      <c r="FD218" s="6"/>
      <c r="FE218" s="6"/>
      <c r="FF218" s="6"/>
      <c r="FG218" s="6"/>
      <c r="FH218" s="6"/>
      <c r="FI218" s="6"/>
      <c r="FJ218" s="6"/>
      <c r="FK218" s="6"/>
      <c r="FL218" s="6"/>
      <c r="FM218" s="6"/>
      <c r="FN218" s="6"/>
      <c r="FO218" s="6"/>
      <c r="FP218" s="6"/>
      <c r="FQ218" s="6"/>
      <c r="FR218" s="6"/>
      <c r="FS218" s="6"/>
      <c r="FT218" s="6"/>
      <c r="FU218" s="6"/>
      <c r="FV218" s="6"/>
      <c r="FW218" s="6"/>
      <c r="FX218" s="6"/>
      <c r="FY218" s="6"/>
      <c r="FZ218" s="6"/>
      <c r="GA218" s="6"/>
      <c r="GB218" s="6"/>
      <c r="GC218" s="6"/>
      <c r="GD218" s="6"/>
      <c r="GE218" s="6"/>
      <c r="GF218" s="6"/>
      <c r="GG218" s="6"/>
      <c r="GH218" s="6"/>
      <c r="GI218" s="6"/>
      <c r="GJ218" s="6"/>
      <c r="GK218" s="6"/>
      <c r="GL218" s="6"/>
    </row>
    <row r="219" spans="1:194" x14ac:dyDescent="0.25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  <c r="AA219" s="67"/>
      <c r="AB219" s="67"/>
      <c r="AC219" s="67"/>
      <c r="AD219" s="67"/>
      <c r="AE219" s="67"/>
      <c r="AF219" s="67"/>
      <c r="AG219" s="67"/>
      <c r="AH219" s="67"/>
      <c r="AI219" s="67"/>
      <c r="AJ219" s="67"/>
      <c r="AK219" s="67"/>
      <c r="AL219" s="67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  <c r="BB219" s="67"/>
      <c r="BC219" s="67"/>
      <c r="BD219" s="67"/>
      <c r="BE219" s="67"/>
      <c r="BF219" s="67"/>
      <c r="BG219" s="67"/>
      <c r="BH219" s="67"/>
      <c r="BI219" s="67"/>
      <c r="BJ219" s="67"/>
      <c r="BK219" s="67"/>
      <c r="BL219" s="67"/>
      <c r="BM219" s="67"/>
      <c r="BN219" s="67"/>
      <c r="BO219" s="67"/>
      <c r="BP219" s="67"/>
      <c r="BQ219" s="67"/>
      <c r="BR219" s="67"/>
      <c r="BS219" s="67"/>
      <c r="BT219" s="67"/>
      <c r="BU219" s="67"/>
      <c r="BV219" s="67"/>
      <c r="BW219" s="67"/>
      <c r="BX219" s="67"/>
      <c r="BY219" s="67"/>
      <c r="BZ219" s="67"/>
      <c r="CA219" s="67"/>
      <c r="CB219" s="67"/>
      <c r="CC219" s="67"/>
      <c r="CD219" s="67"/>
      <c r="CE219" s="67"/>
      <c r="CF219" s="67"/>
      <c r="CG219" s="67"/>
      <c r="CH219" s="67"/>
      <c r="CI219" s="67"/>
      <c r="CJ219" s="67"/>
      <c r="CK219" s="67"/>
      <c r="CL219" s="67"/>
      <c r="CM219" s="67"/>
      <c r="CN219" s="67"/>
      <c r="CO219" s="67"/>
      <c r="CP219" s="67"/>
      <c r="CQ219" s="67"/>
      <c r="CR219" s="67"/>
      <c r="CS219" s="67"/>
      <c r="CT219" s="67"/>
      <c r="CU219" s="67"/>
      <c r="CV219" s="67"/>
      <c r="CW219" s="67"/>
      <c r="CX219" s="67"/>
      <c r="CY219" s="67"/>
      <c r="CZ219" s="67"/>
      <c r="DA219" s="67"/>
      <c r="DB219" s="67"/>
      <c r="DC219" s="67"/>
      <c r="DD219" s="67"/>
      <c r="DE219" s="67"/>
      <c r="DF219" s="67"/>
      <c r="DG219" s="67"/>
      <c r="DH219" s="67"/>
      <c r="DI219" s="67"/>
      <c r="DJ219" s="67"/>
      <c r="DK219" s="67"/>
      <c r="DL219" s="67"/>
      <c r="DM219" s="67"/>
      <c r="DN219" s="67"/>
      <c r="DO219" s="67"/>
      <c r="DP219" s="67"/>
      <c r="DQ219" s="67"/>
      <c r="DR219" s="67"/>
      <c r="DS219" s="67"/>
      <c r="DT219" s="67"/>
      <c r="DU219" s="67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  <c r="ER219" s="6"/>
      <c r="ES219" s="6"/>
      <c r="ET219" s="6"/>
      <c r="EU219" s="6"/>
      <c r="EV219" s="6"/>
      <c r="EW219" s="6"/>
      <c r="EX219" s="6"/>
      <c r="EY219" s="6"/>
      <c r="EZ219" s="6"/>
      <c r="FA219" s="6"/>
      <c r="FB219" s="6"/>
      <c r="FC219" s="6"/>
      <c r="FD219" s="6"/>
      <c r="FE219" s="6"/>
      <c r="FF219" s="6"/>
      <c r="FG219" s="6"/>
      <c r="FH219" s="6"/>
      <c r="FI219" s="6"/>
      <c r="FJ219" s="6"/>
      <c r="FK219" s="6"/>
      <c r="FL219" s="6"/>
      <c r="FM219" s="6"/>
      <c r="FN219" s="6"/>
      <c r="FO219" s="6"/>
      <c r="FP219" s="6"/>
      <c r="FQ219" s="6"/>
      <c r="FR219" s="6"/>
      <c r="FS219" s="6"/>
      <c r="FT219" s="6"/>
      <c r="FU219" s="6"/>
      <c r="FV219" s="6"/>
      <c r="FW219" s="6"/>
      <c r="FX219" s="6"/>
      <c r="FY219" s="6"/>
      <c r="FZ219" s="6"/>
      <c r="GA219" s="6"/>
      <c r="GB219" s="6"/>
      <c r="GC219" s="6"/>
      <c r="GD219" s="6"/>
      <c r="GE219" s="6"/>
      <c r="GF219" s="6"/>
      <c r="GG219" s="6"/>
      <c r="GH219" s="6"/>
      <c r="GI219" s="6"/>
      <c r="GJ219" s="6"/>
      <c r="GK219" s="6"/>
      <c r="GL219" s="6"/>
    </row>
    <row r="220" spans="1:194" x14ac:dyDescent="0.25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  <c r="AA220" s="67"/>
      <c r="AB220" s="67"/>
      <c r="AC220" s="67"/>
      <c r="AD220" s="67"/>
      <c r="AE220" s="67"/>
      <c r="AF220" s="67"/>
      <c r="AG220" s="67"/>
      <c r="AH220" s="67"/>
      <c r="AI220" s="67"/>
      <c r="AJ220" s="67"/>
      <c r="AK220" s="67"/>
      <c r="AL220" s="67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  <c r="BB220" s="67"/>
      <c r="BC220" s="67"/>
      <c r="BD220" s="67"/>
      <c r="BE220" s="67"/>
      <c r="BF220" s="67"/>
      <c r="BG220" s="67"/>
      <c r="BH220" s="67"/>
      <c r="BI220" s="67"/>
      <c r="BJ220" s="67"/>
      <c r="BK220" s="67"/>
      <c r="BL220" s="67"/>
      <c r="BM220" s="67"/>
      <c r="BN220" s="67"/>
      <c r="BO220" s="67"/>
      <c r="BP220" s="67"/>
      <c r="BQ220" s="67"/>
      <c r="BR220" s="67"/>
      <c r="BS220" s="67"/>
      <c r="BT220" s="67"/>
      <c r="BU220" s="67"/>
      <c r="BV220" s="67"/>
      <c r="BW220" s="67"/>
      <c r="BX220" s="67"/>
      <c r="BY220" s="67"/>
      <c r="BZ220" s="67"/>
      <c r="CA220" s="67"/>
      <c r="CB220" s="67"/>
      <c r="CC220" s="67"/>
      <c r="CD220" s="67"/>
      <c r="CE220" s="67"/>
      <c r="CF220" s="67"/>
      <c r="CG220" s="67"/>
      <c r="CH220" s="67"/>
      <c r="CI220" s="67"/>
      <c r="CJ220" s="67"/>
      <c r="CK220" s="67"/>
      <c r="CL220" s="67"/>
      <c r="CM220" s="67"/>
      <c r="CN220" s="67"/>
      <c r="CO220" s="67"/>
      <c r="CP220" s="67"/>
      <c r="CQ220" s="67"/>
      <c r="CR220" s="67"/>
      <c r="CS220" s="67"/>
      <c r="CT220" s="67"/>
      <c r="CU220" s="67"/>
      <c r="CV220" s="67"/>
      <c r="CW220" s="67"/>
      <c r="CX220" s="67"/>
      <c r="CY220" s="67"/>
      <c r="CZ220" s="67"/>
      <c r="DA220" s="67"/>
      <c r="DB220" s="67"/>
      <c r="DC220" s="67"/>
      <c r="DD220" s="67"/>
      <c r="DE220" s="67"/>
      <c r="DF220" s="67"/>
      <c r="DG220" s="67"/>
      <c r="DH220" s="67"/>
      <c r="DI220" s="67"/>
      <c r="DJ220" s="67"/>
      <c r="DK220" s="67"/>
      <c r="DL220" s="67"/>
      <c r="DM220" s="67"/>
      <c r="DN220" s="67"/>
      <c r="DO220" s="67"/>
      <c r="DP220" s="67"/>
      <c r="DQ220" s="67"/>
      <c r="DR220" s="67"/>
      <c r="DS220" s="67"/>
      <c r="DT220" s="67"/>
      <c r="DU220" s="67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  <c r="ER220" s="6"/>
      <c r="ES220" s="6"/>
      <c r="ET220" s="6"/>
      <c r="EU220" s="6"/>
      <c r="EV220" s="6"/>
      <c r="EW220" s="6"/>
      <c r="EX220" s="6"/>
      <c r="EY220" s="6"/>
      <c r="EZ220" s="6"/>
      <c r="FA220" s="6"/>
      <c r="FB220" s="6"/>
      <c r="FC220" s="6"/>
      <c r="FD220" s="6"/>
      <c r="FE220" s="6"/>
      <c r="FF220" s="6"/>
      <c r="FG220" s="6"/>
      <c r="FH220" s="6"/>
      <c r="FI220" s="6"/>
      <c r="FJ220" s="6"/>
      <c r="FK220" s="6"/>
      <c r="FL220" s="6"/>
      <c r="FM220" s="6"/>
      <c r="FN220" s="6"/>
      <c r="FO220" s="6"/>
      <c r="FP220" s="6"/>
      <c r="FQ220" s="6"/>
      <c r="FR220" s="6"/>
      <c r="FS220" s="6"/>
      <c r="FT220" s="6"/>
      <c r="FU220" s="6"/>
      <c r="FV220" s="6"/>
      <c r="FW220" s="6"/>
      <c r="FX220" s="6"/>
      <c r="FY220" s="6"/>
      <c r="FZ220" s="6"/>
      <c r="GA220" s="6"/>
      <c r="GB220" s="6"/>
      <c r="GC220" s="6"/>
      <c r="GD220" s="6"/>
      <c r="GE220" s="6"/>
      <c r="GF220" s="6"/>
      <c r="GG220" s="6"/>
      <c r="GH220" s="6"/>
      <c r="GI220" s="6"/>
      <c r="GJ220" s="6"/>
      <c r="GK220" s="6"/>
      <c r="GL220" s="6"/>
    </row>
    <row r="221" spans="1:194" x14ac:dyDescent="0.25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  <c r="AA221" s="67"/>
      <c r="AB221" s="67"/>
      <c r="AC221" s="67"/>
      <c r="AD221" s="67"/>
      <c r="AE221" s="67"/>
      <c r="AF221" s="67"/>
      <c r="AG221" s="67"/>
      <c r="AH221" s="67"/>
      <c r="AI221" s="67"/>
      <c r="AJ221" s="67"/>
      <c r="AK221" s="67"/>
      <c r="AL221" s="67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  <c r="AX221" s="67"/>
      <c r="AY221" s="67"/>
      <c r="AZ221" s="67"/>
      <c r="BA221" s="67"/>
      <c r="BB221" s="67"/>
      <c r="BC221" s="67"/>
      <c r="BD221" s="67"/>
      <c r="BE221" s="67"/>
      <c r="BF221" s="67"/>
      <c r="BG221" s="67"/>
      <c r="BH221" s="67"/>
      <c r="BI221" s="67"/>
      <c r="BJ221" s="67"/>
      <c r="BK221" s="67"/>
      <c r="BL221" s="67"/>
      <c r="BM221" s="67"/>
      <c r="BN221" s="67"/>
      <c r="BO221" s="67"/>
      <c r="BP221" s="67"/>
      <c r="BQ221" s="67"/>
      <c r="BR221" s="67"/>
      <c r="BS221" s="67"/>
      <c r="BT221" s="67"/>
      <c r="BU221" s="67"/>
      <c r="BV221" s="67"/>
      <c r="BW221" s="67"/>
      <c r="BX221" s="67"/>
      <c r="BY221" s="67"/>
      <c r="BZ221" s="67"/>
      <c r="CA221" s="67"/>
      <c r="CB221" s="67"/>
      <c r="CC221" s="67"/>
      <c r="CD221" s="67"/>
      <c r="CE221" s="67"/>
      <c r="CF221" s="67"/>
      <c r="CG221" s="67"/>
      <c r="CH221" s="67"/>
      <c r="CI221" s="67"/>
      <c r="CJ221" s="67"/>
      <c r="CK221" s="67"/>
      <c r="CL221" s="67"/>
      <c r="CM221" s="67"/>
      <c r="CN221" s="67"/>
      <c r="CO221" s="67"/>
      <c r="CP221" s="67"/>
      <c r="CQ221" s="67"/>
      <c r="CR221" s="67"/>
      <c r="CS221" s="67"/>
      <c r="CT221" s="67"/>
      <c r="CU221" s="67"/>
      <c r="CV221" s="67"/>
      <c r="CW221" s="67"/>
      <c r="CX221" s="67"/>
      <c r="CY221" s="67"/>
      <c r="CZ221" s="67"/>
      <c r="DA221" s="67"/>
      <c r="DB221" s="67"/>
      <c r="DC221" s="67"/>
      <c r="DD221" s="67"/>
      <c r="DE221" s="67"/>
      <c r="DF221" s="67"/>
      <c r="DG221" s="67"/>
      <c r="DH221" s="67"/>
      <c r="DI221" s="67"/>
      <c r="DJ221" s="67"/>
      <c r="DK221" s="67"/>
      <c r="DL221" s="67"/>
      <c r="DM221" s="67"/>
      <c r="DN221" s="67"/>
      <c r="DO221" s="67"/>
      <c r="DP221" s="67"/>
      <c r="DQ221" s="67"/>
      <c r="DR221" s="67"/>
      <c r="DS221" s="67"/>
      <c r="DT221" s="67"/>
      <c r="DU221" s="67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6"/>
      <c r="FU221" s="6"/>
      <c r="FV221" s="6"/>
      <c r="FW221" s="6"/>
      <c r="FX221" s="6"/>
      <c r="FY221" s="6"/>
      <c r="FZ221" s="6"/>
      <c r="GA221" s="6"/>
      <c r="GB221" s="6"/>
      <c r="GC221" s="6"/>
      <c r="GD221" s="6"/>
      <c r="GE221" s="6"/>
      <c r="GF221" s="6"/>
      <c r="GG221" s="6"/>
      <c r="GH221" s="6"/>
      <c r="GI221" s="6"/>
      <c r="GJ221" s="6"/>
      <c r="GK221" s="6"/>
      <c r="GL221" s="6"/>
    </row>
    <row r="222" spans="1:194" x14ac:dyDescent="0.25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B222" s="67"/>
      <c r="AC222" s="67"/>
      <c r="AD222" s="67"/>
      <c r="AE222" s="67"/>
      <c r="AF222" s="67"/>
      <c r="AG222" s="67"/>
      <c r="AH222" s="67"/>
      <c r="AI222" s="67"/>
      <c r="AJ222" s="67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  <c r="BD222" s="67"/>
      <c r="BE222" s="67"/>
      <c r="BF222" s="67"/>
      <c r="BG222" s="67"/>
      <c r="BH222" s="67"/>
      <c r="BI222" s="67"/>
      <c r="BJ222" s="67"/>
      <c r="BK222" s="67"/>
      <c r="BL222" s="67"/>
      <c r="BM222" s="67"/>
      <c r="BN222" s="67"/>
      <c r="BO222" s="67"/>
      <c r="BP222" s="67"/>
      <c r="BQ222" s="67"/>
      <c r="BR222" s="67"/>
      <c r="BS222" s="67"/>
      <c r="BT222" s="67"/>
      <c r="BU222" s="67"/>
      <c r="BV222" s="67"/>
      <c r="BW222" s="67"/>
      <c r="BX222" s="67"/>
      <c r="BY222" s="67"/>
      <c r="BZ222" s="67"/>
      <c r="CA222" s="67"/>
      <c r="CB222" s="67"/>
      <c r="CC222" s="67"/>
      <c r="CD222" s="67"/>
      <c r="CE222" s="67"/>
      <c r="CF222" s="67"/>
      <c r="CG222" s="67"/>
      <c r="CH222" s="67"/>
      <c r="CI222" s="67"/>
      <c r="CJ222" s="67"/>
      <c r="CK222" s="67"/>
      <c r="CL222" s="67"/>
      <c r="CM222" s="67"/>
      <c r="CN222" s="67"/>
      <c r="CO222" s="67"/>
      <c r="CP222" s="67"/>
      <c r="CQ222" s="67"/>
      <c r="CR222" s="67"/>
      <c r="CS222" s="67"/>
      <c r="CT222" s="67"/>
      <c r="CU222" s="67"/>
      <c r="CV222" s="67"/>
      <c r="CW222" s="67"/>
      <c r="CX222" s="67"/>
      <c r="CY222" s="67"/>
      <c r="CZ222" s="67"/>
      <c r="DA222" s="67"/>
      <c r="DB222" s="67"/>
      <c r="DC222" s="67"/>
      <c r="DD222" s="67"/>
      <c r="DE222" s="67"/>
      <c r="DF222" s="67"/>
      <c r="DG222" s="67"/>
      <c r="DH222" s="67"/>
      <c r="DI222" s="67"/>
      <c r="DJ222" s="67"/>
      <c r="DK222" s="67"/>
      <c r="DL222" s="67"/>
      <c r="DM222" s="67"/>
      <c r="DN222" s="67"/>
      <c r="DO222" s="67"/>
      <c r="DP222" s="67"/>
      <c r="DQ222" s="67"/>
      <c r="DR222" s="67"/>
      <c r="DS222" s="67"/>
      <c r="DT222" s="67"/>
      <c r="DU222" s="67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  <c r="ER222" s="6"/>
      <c r="ES222" s="6"/>
      <c r="ET222" s="6"/>
      <c r="EU222" s="6"/>
      <c r="EV222" s="6"/>
      <c r="EW222" s="6"/>
      <c r="EX222" s="6"/>
      <c r="EY222" s="6"/>
      <c r="EZ222" s="6"/>
      <c r="FA222" s="6"/>
      <c r="FB222" s="6"/>
      <c r="FC222" s="6"/>
      <c r="FD222" s="6"/>
      <c r="FE222" s="6"/>
      <c r="FF222" s="6"/>
      <c r="FG222" s="6"/>
      <c r="FH222" s="6"/>
      <c r="FI222" s="6"/>
      <c r="FJ222" s="6"/>
      <c r="FK222" s="6"/>
      <c r="FL222" s="6"/>
      <c r="FM222" s="6"/>
      <c r="FN222" s="6"/>
      <c r="FO222" s="6"/>
      <c r="FP222" s="6"/>
      <c r="FQ222" s="6"/>
      <c r="FR222" s="6"/>
      <c r="FS222" s="6"/>
      <c r="FT222" s="6"/>
      <c r="FU222" s="6"/>
      <c r="FV222" s="6"/>
      <c r="FW222" s="6"/>
      <c r="FX222" s="6"/>
      <c r="FY222" s="6"/>
      <c r="FZ222" s="6"/>
      <c r="GA222" s="6"/>
      <c r="GB222" s="6"/>
      <c r="GC222" s="6"/>
      <c r="GD222" s="6"/>
      <c r="GE222" s="6"/>
      <c r="GF222" s="6"/>
      <c r="GG222" s="6"/>
      <c r="GH222" s="6"/>
      <c r="GI222" s="6"/>
      <c r="GJ222" s="6"/>
      <c r="GK222" s="6"/>
      <c r="GL222" s="6"/>
    </row>
    <row r="223" spans="1:194" x14ac:dyDescent="0.25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  <c r="AA223" s="67"/>
      <c r="AB223" s="67"/>
      <c r="AC223" s="67"/>
      <c r="AD223" s="67"/>
      <c r="AE223" s="67"/>
      <c r="AF223" s="67"/>
      <c r="AG223" s="67"/>
      <c r="AH223" s="67"/>
      <c r="AI223" s="67"/>
      <c r="AJ223" s="67"/>
      <c r="AK223" s="67"/>
      <c r="AL223" s="67"/>
      <c r="AM223" s="67"/>
      <c r="AN223" s="67"/>
      <c r="AO223" s="67"/>
      <c r="AP223" s="67"/>
      <c r="AQ223" s="67"/>
      <c r="AR223" s="67"/>
      <c r="AS223" s="67"/>
      <c r="AT223" s="67"/>
      <c r="AU223" s="67"/>
      <c r="AV223" s="67"/>
      <c r="AW223" s="67"/>
      <c r="AX223" s="67"/>
      <c r="AY223" s="67"/>
      <c r="AZ223" s="67"/>
      <c r="BA223" s="67"/>
      <c r="BB223" s="67"/>
      <c r="BC223" s="67"/>
      <c r="BD223" s="67"/>
      <c r="BE223" s="67"/>
      <c r="BF223" s="67"/>
      <c r="BG223" s="67"/>
      <c r="BH223" s="67"/>
      <c r="BI223" s="67"/>
      <c r="BJ223" s="67"/>
      <c r="BK223" s="67"/>
      <c r="BL223" s="67"/>
      <c r="BM223" s="67"/>
      <c r="BN223" s="67"/>
      <c r="BO223" s="67"/>
      <c r="BP223" s="67"/>
      <c r="BQ223" s="67"/>
      <c r="BR223" s="67"/>
      <c r="BS223" s="67"/>
      <c r="BT223" s="67"/>
      <c r="BU223" s="67"/>
      <c r="BV223" s="67"/>
      <c r="BW223" s="67"/>
      <c r="BX223" s="67"/>
      <c r="BY223" s="67"/>
      <c r="BZ223" s="67"/>
      <c r="CA223" s="67"/>
      <c r="CB223" s="67"/>
      <c r="CC223" s="67"/>
      <c r="CD223" s="67"/>
      <c r="CE223" s="67"/>
      <c r="CF223" s="67"/>
      <c r="CG223" s="67"/>
      <c r="CH223" s="67"/>
      <c r="CI223" s="67"/>
      <c r="CJ223" s="67"/>
      <c r="CK223" s="67"/>
      <c r="CL223" s="67"/>
      <c r="CM223" s="67"/>
      <c r="CN223" s="67"/>
      <c r="CO223" s="67"/>
      <c r="CP223" s="67"/>
      <c r="CQ223" s="67"/>
      <c r="CR223" s="67"/>
      <c r="CS223" s="67"/>
      <c r="CT223" s="67"/>
      <c r="CU223" s="67"/>
      <c r="CV223" s="67"/>
      <c r="CW223" s="67"/>
      <c r="CX223" s="67"/>
      <c r="CY223" s="67"/>
      <c r="CZ223" s="67"/>
      <c r="DA223" s="67"/>
      <c r="DB223" s="67"/>
      <c r="DC223" s="67"/>
      <c r="DD223" s="67"/>
      <c r="DE223" s="67"/>
      <c r="DF223" s="67"/>
      <c r="DG223" s="67"/>
      <c r="DH223" s="67"/>
      <c r="DI223" s="67"/>
      <c r="DJ223" s="67"/>
      <c r="DK223" s="67"/>
      <c r="DL223" s="67"/>
      <c r="DM223" s="67"/>
      <c r="DN223" s="67"/>
      <c r="DO223" s="67"/>
      <c r="DP223" s="67"/>
      <c r="DQ223" s="67"/>
      <c r="DR223" s="67"/>
      <c r="DS223" s="67"/>
      <c r="DT223" s="67"/>
      <c r="DU223" s="67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  <c r="ER223" s="6"/>
      <c r="ES223" s="6"/>
      <c r="ET223" s="6"/>
      <c r="EU223" s="6"/>
      <c r="EV223" s="6"/>
      <c r="EW223" s="6"/>
      <c r="EX223" s="6"/>
      <c r="EY223" s="6"/>
      <c r="EZ223" s="6"/>
      <c r="FA223" s="6"/>
      <c r="FB223" s="6"/>
      <c r="FC223" s="6"/>
      <c r="FD223" s="6"/>
      <c r="FE223" s="6"/>
      <c r="FF223" s="6"/>
      <c r="FG223" s="6"/>
      <c r="FH223" s="6"/>
      <c r="FI223" s="6"/>
      <c r="FJ223" s="6"/>
      <c r="FK223" s="6"/>
      <c r="FL223" s="6"/>
      <c r="FM223" s="6"/>
      <c r="FN223" s="6"/>
      <c r="FO223" s="6"/>
      <c r="FP223" s="6"/>
      <c r="FQ223" s="6"/>
      <c r="FR223" s="6"/>
      <c r="FS223" s="6"/>
      <c r="FT223" s="6"/>
      <c r="FU223" s="6"/>
      <c r="FV223" s="6"/>
      <c r="FW223" s="6"/>
      <c r="FX223" s="6"/>
      <c r="FY223" s="6"/>
      <c r="FZ223" s="6"/>
      <c r="GA223" s="6"/>
      <c r="GB223" s="6"/>
      <c r="GC223" s="6"/>
      <c r="GD223" s="6"/>
      <c r="GE223" s="6"/>
      <c r="GF223" s="6"/>
      <c r="GG223" s="6"/>
      <c r="GH223" s="6"/>
      <c r="GI223" s="6"/>
      <c r="GJ223" s="6"/>
      <c r="GK223" s="6"/>
      <c r="GL223" s="6"/>
    </row>
    <row r="224" spans="1:194" x14ac:dyDescent="0.25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  <c r="AA224" s="67"/>
      <c r="AB224" s="67"/>
      <c r="AC224" s="67"/>
      <c r="AD224" s="67"/>
      <c r="AE224" s="67"/>
      <c r="AF224" s="67"/>
      <c r="AG224" s="67"/>
      <c r="AH224" s="67"/>
      <c r="AI224" s="67"/>
      <c r="AJ224" s="67"/>
      <c r="AK224" s="67"/>
      <c r="AL224" s="67"/>
      <c r="AM224" s="67"/>
      <c r="AN224" s="67"/>
      <c r="AO224" s="67"/>
      <c r="AP224" s="67"/>
      <c r="AQ224" s="67"/>
      <c r="AR224" s="67"/>
      <c r="AS224" s="67"/>
      <c r="AT224" s="67"/>
      <c r="AU224" s="67"/>
      <c r="AV224" s="67"/>
      <c r="AW224" s="67"/>
      <c r="AX224" s="67"/>
      <c r="AY224" s="67"/>
      <c r="AZ224" s="67"/>
      <c r="BA224" s="67"/>
      <c r="BB224" s="67"/>
      <c r="BC224" s="67"/>
      <c r="BD224" s="67"/>
      <c r="BE224" s="67"/>
      <c r="BF224" s="67"/>
      <c r="BG224" s="67"/>
      <c r="BH224" s="67"/>
      <c r="BI224" s="67"/>
      <c r="BJ224" s="67"/>
      <c r="BK224" s="67"/>
      <c r="BL224" s="67"/>
      <c r="BM224" s="67"/>
      <c r="BN224" s="67"/>
      <c r="BO224" s="67"/>
      <c r="BP224" s="67"/>
      <c r="BQ224" s="67"/>
      <c r="BR224" s="67"/>
      <c r="BS224" s="67"/>
      <c r="BT224" s="67"/>
      <c r="BU224" s="67"/>
      <c r="BV224" s="67"/>
      <c r="BW224" s="67"/>
      <c r="BX224" s="67"/>
      <c r="BY224" s="67"/>
      <c r="BZ224" s="67"/>
      <c r="CA224" s="67"/>
      <c r="CB224" s="67"/>
      <c r="CC224" s="67"/>
      <c r="CD224" s="67"/>
      <c r="CE224" s="67"/>
      <c r="CF224" s="67"/>
      <c r="CG224" s="67"/>
      <c r="CH224" s="67"/>
      <c r="CI224" s="67"/>
      <c r="CJ224" s="67"/>
      <c r="CK224" s="67"/>
      <c r="CL224" s="67"/>
      <c r="CM224" s="67"/>
      <c r="CN224" s="67"/>
      <c r="CO224" s="67"/>
      <c r="CP224" s="67"/>
      <c r="CQ224" s="67"/>
      <c r="CR224" s="67"/>
      <c r="CS224" s="67"/>
      <c r="CT224" s="67"/>
      <c r="CU224" s="67"/>
      <c r="CV224" s="67"/>
      <c r="CW224" s="67"/>
      <c r="CX224" s="67"/>
      <c r="CY224" s="67"/>
      <c r="CZ224" s="67"/>
      <c r="DA224" s="67"/>
      <c r="DB224" s="67"/>
      <c r="DC224" s="67"/>
      <c r="DD224" s="67"/>
      <c r="DE224" s="67"/>
      <c r="DF224" s="67"/>
      <c r="DG224" s="67"/>
      <c r="DH224" s="67"/>
      <c r="DI224" s="67"/>
      <c r="DJ224" s="67"/>
      <c r="DK224" s="67"/>
      <c r="DL224" s="67"/>
      <c r="DM224" s="67"/>
      <c r="DN224" s="67"/>
      <c r="DO224" s="67"/>
      <c r="DP224" s="67"/>
      <c r="DQ224" s="67"/>
      <c r="DR224" s="67"/>
      <c r="DS224" s="67"/>
      <c r="DT224" s="67"/>
      <c r="DU224" s="67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  <c r="ER224" s="6"/>
      <c r="ES224" s="6"/>
      <c r="ET224" s="6"/>
      <c r="EU224" s="6"/>
      <c r="EV224" s="6"/>
      <c r="EW224" s="6"/>
      <c r="EX224" s="6"/>
      <c r="EY224" s="6"/>
      <c r="EZ224" s="6"/>
      <c r="FA224" s="6"/>
      <c r="FB224" s="6"/>
      <c r="FC224" s="6"/>
      <c r="FD224" s="6"/>
      <c r="FE224" s="6"/>
      <c r="FF224" s="6"/>
      <c r="FG224" s="6"/>
      <c r="FH224" s="6"/>
      <c r="FI224" s="6"/>
      <c r="FJ224" s="6"/>
      <c r="FK224" s="6"/>
      <c r="FL224" s="6"/>
      <c r="FM224" s="6"/>
      <c r="FN224" s="6"/>
      <c r="FO224" s="6"/>
      <c r="FP224" s="6"/>
      <c r="FQ224" s="6"/>
      <c r="FR224" s="6"/>
      <c r="FS224" s="6"/>
      <c r="FT224" s="6"/>
      <c r="FU224" s="6"/>
      <c r="FV224" s="6"/>
      <c r="FW224" s="6"/>
      <c r="FX224" s="6"/>
      <c r="FY224" s="6"/>
      <c r="FZ224" s="6"/>
      <c r="GA224" s="6"/>
      <c r="GB224" s="6"/>
      <c r="GC224" s="6"/>
      <c r="GD224" s="6"/>
      <c r="GE224" s="6"/>
      <c r="GF224" s="6"/>
      <c r="GG224" s="6"/>
      <c r="GH224" s="6"/>
      <c r="GI224" s="6"/>
      <c r="GJ224" s="6"/>
      <c r="GK224" s="6"/>
      <c r="GL224" s="6"/>
    </row>
    <row r="225" spans="1:194" x14ac:dyDescent="0.25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  <c r="AA225" s="67"/>
      <c r="AB225" s="67"/>
      <c r="AC225" s="67"/>
      <c r="AD225" s="67"/>
      <c r="AE225" s="67"/>
      <c r="AF225" s="67"/>
      <c r="AG225" s="67"/>
      <c r="AH225" s="67"/>
      <c r="AI225" s="67"/>
      <c r="AJ225" s="67"/>
      <c r="AK225" s="67"/>
      <c r="AL225" s="67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  <c r="BI225" s="67"/>
      <c r="BJ225" s="67"/>
      <c r="BK225" s="67"/>
      <c r="BL225" s="67"/>
      <c r="BM225" s="67"/>
      <c r="BN225" s="67"/>
      <c r="BO225" s="67"/>
      <c r="BP225" s="67"/>
      <c r="BQ225" s="67"/>
      <c r="BR225" s="67"/>
      <c r="BS225" s="67"/>
      <c r="BT225" s="67"/>
      <c r="BU225" s="67"/>
      <c r="BV225" s="67"/>
      <c r="BW225" s="67"/>
      <c r="BX225" s="67"/>
      <c r="BY225" s="67"/>
      <c r="BZ225" s="67"/>
      <c r="CA225" s="67"/>
      <c r="CB225" s="67"/>
      <c r="CC225" s="67"/>
      <c r="CD225" s="67"/>
      <c r="CE225" s="67"/>
      <c r="CF225" s="67"/>
      <c r="CG225" s="67"/>
      <c r="CH225" s="67"/>
      <c r="CI225" s="67"/>
      <c r="CJ225" s="67"/>
      <c r="CK225" s="67"/>
      <c r="CL225" s="67"/>
      <c r="CM225" s="67"/>
      <c r="CN225" s="67"/>
      <c r="CO225" s="67"/>
      <c r="CP225" s="67"/>
      <c r="CQ225" s="67"/>
      <c r="CR225" s="67"/>
      <c r="CS225" s="67"/>
      <c r="CT225" s="67"/>
      <c r="CU225" s="67"/>
      <c r="CV225" s="67"/>
      <c r="CW225" s="67"/>
      <c r="CX225" s="67"/>
      <c r="CY225" s="67"/>
      <c r="CZ225" s="67"/>
      <c r="DA225" s="67"/>
      <c r="DB225" s="67"/>
      <c r="DC225" s="67"/>
      <c r="DD225" s="67"/>
      <c r="DE225" s="67"/>
      <c r="DF225" s="67"/>
      <c r="DG225" s="67"/>
      <c r="DH225" s="67"/>
      <c r="DI225" s="67"/>
      <c r="DJ225" s="67"/>
      <c r="DK225" s="67"/>
      <c r="DL225" s="67"/>
      <c r="DM225" s="67"/>
      <c r="DN225" s="67"/>
      <c r="DO225" s="67"/>
      <c r="DP225" s="67"/>
      <c r="DQ225" s="67"/>
      <c r="DR225" s="67"/>
      <c r="DS225" s="67"/>
      <c r="DT225" s="67"/>
      <c r="DU225" s="67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  <c r="ER225" s="6"/>
      <c r="ES225" s="6"/>
      <c r="ET225" s="6"/>
      <c r="EU225" s="6"/>
      <c r="EV225" s="6"/>
      <c r="EW225" s="6"/>
      <c r="EX225" s="6"/>
      <c r="EY225" s="6"/>
      <c r="EZ225" s="6"/>
      <c r="FA225" s="6"/>
      <c r="FB225" s="6"/>
      <c r="FC225" s="6"/>
      <c r="FD225" s="6"/>
      <c r="FE225" s="6"/>
      <c r="FF225" s="6"/>
      <c r="FG225" s="6"/>
      <c r="FH225" s="6"/>
      <c r="FI225" s="6"/>
      <c r="FJ225" s="6"/>
      <c r="FK225" s="6"/>
      <c r="FL225" s="6"/>
      <c r="FM225" s="6"/>
      <c r="FN225" s="6"/>
      <c r="FO225" s="6"/>
      <c r="FP225" s="6"/>
      <c r="FQ225" s="6"/>
      <c r="FR225" s="6"/>
      <c r="FS225" s="6"/>
      <c r="FT225" s="6"/>
      <c r="FU225" s="6"/>
      <c r="FV225" s="6"/>
      <c r="FW225" s="6"/>
      <c r="FX225" s="6"/>
      <c r="FY225" s="6"/>
      <c r="FZ225" s="6"/>
      <c r="GA225" s="6"/>
      <c r="GB225" s="6"/>
      <c r="GC225" s="6"/>
      <c r="GD225" s="6"/>
      <c r="GE225" s="6"/>
      <c r="GF225" s="6"/>
      <c r="GG225" s="6"/>
      <c r="GH225" s="6"/>
      <c r="GI225" s="6"/>
      <c r="GJ225" s="6"/>
      <c r="GK225" s="6"/>
      <c r="GL225" s="6"/>
    </row>
    <row r="226" spans="1:194" x14ac:dyDescent="0.25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  <c r="AF226" s="67"/>
      <c r="AG226" s="67"/>
      <c r="AH226" s="67"/>
      <c r="AI226" s="67"/>
      <c r="AJ226" s="67"/>
      <c r="AK226" s="67"/>
      <c r="AL226" s="67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  <c r="BI226" s="67"/>
      <c r="BJ226" s="67"/>
      <c r="BK226" s="67"/>
      <c r="BL226" s="67"/>
      <c r="BM226" s="67"/>
      <c r="BN226" s="67"/>
      <c r="BO226" s="67"/>
      <c r="BP226" s="67"/>
      <c r="BQ226" s="67"/>
      <c r="BR226" s="67"/>
      <c r="BS226" s="67"/>
      <c r="BT226" s="67"/>
      <c r="BU226" s="67"/>
      <c r="BV226" s="67"/>
      <c r="BW226" s="67"/>
      <c r="BX226" s="67"/>
      <c r="BY226" s="67"/>
      <c r="BZ226" s="67"/>
      <c r="CA226" s="67"/>
      <c r="CB226" s="67"/>
      <c r="CC226" s="67"/>
      <c r="CD226" s="67"/>
      <c r="CE226" s="67"/>
      <c r="CF226" s="67"/>
      <c r="CG226" s="67"/>
      <c r="CH226" s="67"/>
      <c r="CI226" s="67"/>
      <c r="CJ226" s="67"/>
      <c r="CK226" s="67"/>
      <c r="CL226" s="67"/>
      <c r="CM226" s="67"/>
      <c r="CN226" s="67"/>
      <c r="CO226" s="67"/>
      <c r="CP226" s="67"/>
      <c r="CQ226" s="67"/>
      <c r="CR226" s="67"/>
      <c r="CS226" s="67"/>
      <c r="CT226" s="67"/>
      <c r="CU226" s="67"/>
      <c r="CV226" s="67"/>
      <c r="CW226" s="67"/>
      <c r="CX226" s="67"/>
      <c r="CY226" s="67"/>
      <c r="CZ226" s="67"/>
      <c r="DA226" s="67"/>
      <c r="DB226" s="67"/>
      <c r="DC226" s="67"/>
      <c r="DD226" s="67"/>
      <c r="DE226" s="67"/>
      <c r="DF226" s="67"/>
      <c r="DG226" s="67"/>
      <c r="DH226" s="67"/>
      <c r="DI226" s="67"/>
      <c r="DJ226" s="67"/>
      <c r="DK226" s="67"/>
      <c r="DL226" s="67"/>
      <c r="DM226" s="67"/>
      <c r="DN226" s="67"/>
      <c r="DO226" s="67"/>
      <c r="DP226" s="67"/>
      <c r="DQ226" s="67"/>
      <c r="DR226" s="67"/>
      <c r="DS226" s="67"/>
      <c r="DT226" s="67"/>
      <c r="DU226" s="67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  <c r="ER226" s="6"/>
      <c r="ES226" s="6"/>
      <c r="ET226" s="6"/>
      <c r="EU226" s="6"/>
      <c r="EV226" s="6"/>
      <c r="EW226" s="6"/>
      <c r="EX226" s="6"/>
      <c r="EY226" s="6"/>
      <c r="EZ226" s="6"/>
      <c r="FA226" s="6"/>
      <c r="FB226" s="6"/>
      <c r="FC226" s="6"/>
      <c r="FD226" s="6"/>
      <c r="FE226" s="6"/>
      <c r="FF226" s="6"/>
      <c r="FG226" s="6"/>
      <c r="FH226" s="6"/>
      <c r="FI226" s="6"/>
      <c r="FJ226" s="6"/>
      <c r="FK226" s="6"/>
      <c r="FL226" s="6"/>
      <c r="FM226" s="6"/>
      <c r="FN226" s="6"/>
      <c r="FO226" s="6"/>
      <c r="FP226" s="6"/>
      <c r="FQ226" s="6"/>
      <c r="FR226" s="6"/>
      <c r="FS226" s="6"/>
      <c r="FT226" s="6"/>
      <c r="FU226" s="6"/>
      <c r="FV226" s="6"/>
      <c r="FW226" s="6"/>
      <c r="FX226" s="6"/>
      <c r="FY226" s="6"/>
      <c r="FZ226" s="6"/>
      <c r="GA226" s="6"/>
      <c r="GB226" s="6"/>
      <c r="GC226" s="6"/>
      <c r="GD226" s="6"/>
      <c r="GE226" s="6"/>
      <c r="GF226" s="6"/>
      <c r="GG226" s="6"/>
      <c r="GH226" s="6"/>
      <c r="GI226" s="6"/>
      <c r="GJ226" s="6"/>
      <c r="GK226" s="6"/>
      <c r="GL226" s="6"/>
    </row>
    <row r="227" spans="1:194" x14ac:dyDescent="0.25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  <c r="AA227" s="67"/>
      <c r="AB227" s="67"/>
      <c r="AC227" s="67"/>
      <c r="AD227" s="67"/>
      <c r="AE227" s="67"/>
      <c r="AF227" s="67"/>
      <c r="AG227" s="67"/>
      <c r="AH227" s="67"/>
      <c r="AI227" s="67"/>
      <c r="AJ227" s="67"/>
      <c r="AK227" s="67"/>
      <c r="AL227" s="67"/>
      <c r="AM227" s="67"/>
      <c r="AN227" s="67"/>
      <c r="AO227" s="67"/>
      <c r="AP227" s="67"/>
      <c r="AQ227" s="67"/>
      <c r="AR227" s="67"/>
      <c r="AS227" s="67"/>
      <c r="AT227" s="67"/>
      <c r="AU227" s="67"/>
      <c r="AV227" s="67"/>
      <c r="AW227" s="67"/>
      <c r="AX227" s="67"/>
      <c r="AY227" s="67"/>
      <c r="AZ227" s="67"/>
      <c r="BA227" s="67"/>
      <c r="BB227" s="67"/>
      <c r="BC227" s="67"/>
      <c r="BD227" s="67"/>
      <c r="BE227" s="67"/>
      <c r="BF227" s="67"/>
      <c r="BG227" s="67"/>
      <c r="BH227" s="67"/>
      <c r="BI227" s="67"/>
      <c r="BJ227" s="67"/>
      <c r="BK227" s="67"/>
      <c r="BL227" s="67"/>
      <c r="BM227" s="67"/>
      <c r="BN227" s="67"/>
      <c r="BO227" s="67"/>
      <c r="BP227" s="67"/>
      <c r="BQ227" s="67"/>
      <c r="BR227" s="67"/>
      <c r="BS227" s="67"/>
      <c r="BT227" s="67"/>
      <c r="BU227" s="67"/>
      <c r="BV227" s="67"/>
      <c r="BW227" s="67"/>
      <c r="BX227" s="67"/>
      <c r="BY227" s="67"/>
      <c r="BZ227" s="67"/>
      <c r="CA227" s="67"/>
      <c r="CB227" s="67"/>
      <c r="CC227" s="67"/>
      <c r="CD227" s="67"/>
      <c r="CE227" s="67"/>
      <c r="CF227" s="67"/>
      <c r="CG227" s="67"/>
      <c r="CH227" s="67"/>
      <c r="CI227" s="67"/>
      <c r="CJ227" s="67"/>
      <c r="CK227" s="67"/>
      <c r="CL227" s="67"/>
      <c r="CM227" s="67"/>
      <c r="CN227" s="67"/>
      <c r="CO227" s="67"/>
      <c r="CP227" s="67"/>
      <c r="CQ227" s="67"/>
      <c r="CR227" s="67"/>
      <c r="CS227" s="67"/>
      <c r="CT227" s="67"/>
      <c r="CU227" s="67"/>
      <c r="CV227" s="67"/>
      <c r="CW227" s="67"/>
      <c r="CX227" s="67"/>
      <c r="CY227" s="67"/>
      <c r="CZ227" s="67"/>
      <c r="DA227" s="67"/>
      <c r="DB227" s="67"/>
      <c r="DC227" s="67"/>
      <c r="DD227" s="67"/>
      <c r="DE227" s="67"/>
      <c r="DF227" s="67"/>
      <c r="DG227" s="67"/>
      <c r="DH227" s="67"/>
      <c r="DI227" s="67"/>
      <c r="DJ227" s="67"/>
      <c r="DK227" s="67"/>
      <c r="DL227" s="67"/>
      <c r="DM227" s="67"/>
      <c r="DN227" s="67"/>
      <c r="DO227" s="67"/>
      <c r="DP227" s="67"/>
      <c r="DQ227" s="67"/>
      <c r="DR227" s="67"/>
      <c r="DS227" s="67"/>
      <c r="DT227" s="67"/>
      <c r="DU227" s="67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  <c r="ER227" s="6"/>
      <c r="ES227" s="6"/>
      <c r="ET227" s="6"/>
      <c r="EU227" s="6"/>
      <c r="EV227" s="6"/>
      <c r="EW227" s="6"/>
      <c r="EX227" s="6"/>
      <c r="EY227" s="6"/>
      <c r="EZ227" s="6"/>
      <c r="FA227" s="6"/>
      <c r="FB227" s="6"/>
      <c r="FC227" s="6"/>
      <c r="FD227" s="6"/>
      <c r="FE227" s="6"/>
      <c r="FF227" s="6"/>
      <c r="FG227" s="6"/>
      <c r="FH227" s="6"/>
      <c r="FI227" s="6"/>
      <c r="FJ227" s="6"/>
      <c r="FK227" s="6"/>
      <c r="FL227" s="6"/>
      <c r="FM227" s="6"/>
      <c r="FN227" s="6"/>
      <c r="FO227" s="6"/>
      <c r="FP227" s="6"/>
      <c r="FQ227" s="6"/>
      <c r="FR227" s="6"/>
      <c r="FS227" s="6"/>
      <c r="FT227" s="6"/>
      <c r="FU227" s="6"/>
      <c r="FV227" s="6"/>
      <c r="FW227" s="6"/>
      <c r="FX227" s="6"/>
      <c r="FY227" s="6"/>
      <c r="FZ227" s="6"/>
      <c r="GA227" s="6"/>
      <c r="GB227" s="6"/>
      <c r="GC227" s="6"/>
      <c r="GD227" s="6"/>
      <c r="GE227" s="6"/>
      <c r="GF227" s="6"/>
      <c r="GG227" s="6"/>
      <c r="GH227" s="6"/>
      <c r="GI227" s="6"/>
      <c r="GJ227" s="6"/>
      <c r="GK227" s="6"/>
      <c r="GL227" s="6"/>
    </row>
    <row r="228" spans="1:194" x14ac:dyDescent="0.25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  <c r="AF228" s="67"/>
      <c r="AG228" s="67"/>
      <c r="AH228" s="67"/>
      <c r="AI228" s="67"/>
      <c r="AJ228" s="67"/>
      <c r="AK228" s="67"/>
      <c r="AL228" s="67"/>
      <c r="AM228" s="67"/>
      <c r="AN228" s="67"/>
      <c r="AO228" s="67"/>
      <c r="AP228" s="67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  <c r="BB228" s="67"/>
      <c r="BC228" s="67"/>
      <c r="BD228" s="67"/>
      <c r="BE228" s="67"/>
      <c r="BF228" s="67"/>
      <c r="BG228" s="67"/>
      <c r="BH228" s="67"/>
      <c r="BI228" s="67"/>
      <c r="BJ228" s="67"/>
      <c r="BK228" s="67"/>
      <c r="BL228" s="67"/>
      <c r="BM228" s="67"/>
      <c r="BN228" s="67"/>
      <c r="BO228" s="67"/>
      <c r="BP228" s="67"/>
      <c r="BQ228" s="67"/>
      <c r="BR228" s="67"/>
      <c r="BS228" s="67"/>
      <c r="BT228" s="67"/>
      <c r="BU228" s="67"/>
      <c r="BV228" s="67"/>
      <c r="BW228" s="67"/>
      <c r="BX228" s="67"/>
      <c r="BY228" s="67"/>
      <c r="BZ228" s="67"/>
      <c r="CA228" s="67"/>
      <c r="CB228" s="67"/>
      <c r="CC228" s="67"/>
      <c r="CD228" s="67"/>
      <c r="CE228" s="67"/>
      <c r="CF228" s="67"/>
      <c r="CG228" s="67"/>
      <c r="CH228" s="67"/>
      <c r="CI228" s="67"/>
      <c r="CJ228" s="67"/>
      <c r="CK228" s="67"/>
      <c r="CL228" s="67"/>
      <c r="CM228" s="67"/>
      <c r="CN228" s="67"/>
      <c r="CO228" s="67"/>
      <c r="CP228" s="67"/>
      <c r="CQ228" s="67"/>
      <c r="CR228" s="67"/>
      <c r="CS228" s="67"/>
      <c r="CT228" s="67"/>
      <c r="CU228" s="67"/>
      <c r="CV228" s="67"/>
      <c r="CW228" s="67"/>
      <c r="CX228" s="67"/>
      <c r="CY228" s="67"/>
      <c r="CZ228" s="67"/>
      <c r="DA228" s="67"/>
      <c r="DB228" s="67"/>
      <c r="DC228" s="67"/>
      <c r="DD228" s="67"/>
      <c r="DE228" s="67"/>
      <c r="DF228" s="67"/>
      <c r="DG228" s="67"/>
      <c r="DH228" s="67"/>
      <c r="DI228" s="67"/>
      <c r="DJ228" s="67"/>
      <c r="DK228" s="67"/>
      <c r="DL228" s="67"/>
      <c r="DM228" s="67"/>
      <c r="DN228" s="67"/>
      <c r="DO228" s="67"/>
      <c r="DP228" s="67"/>
      <c r="DQ228" s="67"/>
      <c r="DR228" s="67"/>
      <c r="DS228" s="67"/>
      <c r="DT228" s="67"/>
      <c r="DU228" s="67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  <c r="ER228" s="6"/>
      <c r="ES228" s="6"/>
      <c r="ET228" s="6"/>
      <c r="EU228" s="6"/>
      <c r="EV228" s="6"/>
      <c r="EW228" s="6"/>
      <c r="EX228" s="6"/>
      <c r="EY228" s="6"/>
      <c r="EZ228" s="6"/>
      <c r="FA228" s="6"/>
      <c r="FB228" s="6"/>
      <c r="FC228" s="6"/>
      <c r="FD228" s="6"/>
      <c r="FE228" s="6"/>
      <c r="FF228" s="6"/>
      <c r="FG228" s="6"/>
      <c r="FH228" s="6"/>
      <c r="FI228" s="6"/>
      <c r="FJ228" s="6"/>
      <c r="FK228" s="6"/>
      <c r="FL228" s="6"/>
      <c r="FM228" s="6"/>
      <c r="FN228" s="6"/>
      <c r="FO228" s="6"/>
      <c r="FP228" s="6"/>
      <c r="FQ228" s="6"/>
      <c r="FR228" s="6"/>
      <c r="FS228" s="6"/>
      <c r="FT228" s="6"/>
      <c r="FU228" s="6"/>
      <c r="FV228" s="6"/>
      <c r="FW228" s="6"/>
      <c r="FX228" s="6"/>
      <c r="FY228" s="6"/>
      <c r="FZ228" s="6"/>
      <c r="GA228" s="6"/>
      <c r="GB228" s="6"/>
      <c r="GC228" s="6"/>
      <c r="GD228" s="6"/>
      <c r="GE228" s="6"/>
      <c r="GF228" s="6"/>
      <c r="GG228" s="6"/>
      <c r="GH228" s="6"/>
      <c r="GI228" s="6"/>
      <c r="GJ228" s="6"/>
      <c r="GK228" s="6"/>
      <c r="GL228" s="6"/>
    </row>
    <row r="229" spans="1:194" x14ac:dyDescent="0.25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7"/>
      <c r="AE229" s="67"/>
      <c r="AF229" s="67"/>
      <c r="AG229" s="67"/>
      <c r="AH229" s="67"/>
      <c r="AI229" s="67"/>
      <c r="AJ229" s="67"/>
      <c r="AK229" s="67"/>
      <c r="AL229" s="67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  <c r="BI229" s="67"/>
      <c r="BJ229" s="67"/>
      <c r="BK229" s="67"/>
      <c r="BL229" s="67"/>
      <c r="BM229" s="67"/>
      <c r="BN229" s="67"/>
      <c r="BO229" s="67"/>
      <c r="BP229" s="67"/>
      <c r="BQ229" s="67"/>
      <c r="BR229" s="67"/>
      <c r="BS229" s="67"/>
      <c r="BT229" s="67"/>
      <c r="BU229" s="67"/>
      <c r="BV229" s="67"/>
      <c r="BW229" s="67"/>
      <c r="BX229" s="67"/>
      <c r="BY229" s="67"/>
      <c r="BZ229" s="67"/>
      <c r="CA229" s="67"/>
      <c r="CB229" s="67"/>
      <c r="CC229" s="67"/>
      <c r="CD229" s="67"/>
      <c r="CE229" s="67"/>
      <c r="CF229" s="67"/>
      <c r="CG229" s="67"/>
      <c r="CH229" s="67"/>
      <c r="CI229" s="67"/>
      <c r="CJ229" s="67"/>
      <c r="CK229" s="67"/>
      <c r="CL229" s="67"/>
      <c r="CM229" s="67"/>
      <c r="CN229" s="67"/>
      <c r="CO229" s="67"/>
      <c r="CP229" s="67"/>
      <c r="CQ229" s="67"/>
      <c r="CR229" s="67"/>
      <c r="CS229" s="67"/>
      <c r="CT229" s="67"/>
      <c r="CU229" s="67"/>
      <c r="CV229" s="67"/>
      <c r="CW229" s="67"/>
      <c r="CX229" s="67"/>
      <c r="CY229" s="67"/>
      <c r="CZ229" s="67"/>
      <c r="DA229" s="67"/>
      <c r="DB229" s="67"/>
      <c r="DC229" s="67"/>
      <c r="DD229" s="67"/>
      <c r="DE229" s="67"/>
      <c r="DF229" s="67"/>
      <c r="DG229" s="67"/>
      <c r="DH229" s="67"/>
      <c r="DI229" s="67"/>
      <c r="DJ229" s="67"/>
      <c r="DK229" s="67"/>
      <c r="DL229" s="67"/>
      <c r="DM229" s="67"/>
      <c r="DN229" s="67"/>
      <c r="DO229" s="67"/>
      <c r="DP229" s="67"/>
      <c r="DQ229" s="67"/>
      <c r="DR229" s="67"/>
      <c r="DS229" s="67"/>
      <c r="DT229" s="67"/>
      <c r="DU229" s="67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  <c r="ER229" s="6"/>
      <c r="ES229" s="6"/>
      <c r="ET229" s="6"/>
      <c r="EU229" s="6"/>
      <c r="EV229" s="6"/>
      <c r="EW229" s="6"/>
      <c r="EX229" s="6"/>
      <c r="EY229" s="6"/>
      <c r="EZ229" s="6"/>
      <c r="FA229" s="6"/>
      <c r="FB229" s="6"/>
      <c r="FC229" s="6"/>
      <c r="FD229" s="6"/>
      <c r="FE229" s="6"/>
      <c r="FF229" s="6"/>
      <c r="FG229" s="6"/>
      <c r="FH229" s="6"/>
      <c r="FI229" s="6"/>
      <c r="FJ229" s="6"/>
      <c r="FK229" s="6"/>
      <c r="FL229" s="6"/>
      <c r="FM229" s="6"/>
      <c r="FN229" s="6"/>
      <c r="FO229" s="6"/>
      <c r="FP229" s="6"/>
      <c r="FQ229" s="6"/>
      <c r="FR229" s="6"/>
      <c r="FS229" s="6"/>
      <c r="FT229" s="6"/>
      <c r="FU229" s="6"/>
      <c r="FV229" s="6"/>
      <c r="FW229" s="6"/>
      <c r="FX229" s="6"/>
      <c r="FY229" s="6"/>
      <c r="FZ229" s="6"/>
      <c r="GA229" s="6"/>
      <c r="GB229" s="6"/>
      <c r="GC229" s="6"/>
      <c r="GD229" s="6"/>
      <c r="GE229" s="6"/>
      <c r="GF229" s="6"/>
      <c r="GG229" s="6"/>
      <c r="GH229" s="6"/>
      <c r="GI229" s="6"/>
      <c r="GJ229" s="6"/>
      <c r="GK229" s="6"/>
      <c r="GL229" s="6"/>
    </row>
    <row r="230" spans="1:194" x14ac:dyDescent="0.25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  <c r="AA230" s="67"/>
      <c r="AB230" s="67"/>
      <c r="AC230" s="67"/>
      <c r="AD230" s="67"/>
      <c r="AE230" s="67"/>
      <c r="AF230" s="67"/>
      <c r="AG230" s="67"/>
      <c r="AH230" s="67"/>
      <c r="AI230" s="67"/>
      <c r="AJ230" s="67"/>
      <c r="AK230" s="67"/>
      <c r="AL230" s="67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  <c r="BI230" s="67"/>
      <c r="BJ230" s="67"/>
      <c r="BK230" s="67"/>
      <c r="BL230" s="67"/>
      <c r="BM230" s="67"/>
      <c r="BN230" s="67"/>
      <c r="BO230" s="67"/>
      <c r="BP230" s="67"/>
      <c r="BQ230" s="67"/>
      <c r="BR230" s="67"/>
      <c r="BS230" s="67"/>
      <c r="BT230" s="67"/>
      <c r="BU230" s="67"/>
      <c r="BV230" s="67"/>
      <c r="BW230" s="67"/>
      <c r="BX230" s="67"/>
      <c r="BY230" s="67"/>
      <c r="BZ230" s="67"/>
      <c r="CA230" s="67"/>
      <c r="CB230" s="67"/>
      <c r="CC230" s="67"/>
      <c r="CD230" s="67"/>
      <c r="CE230" s="67"/>
      <c r="CF230" s="67"/>
      <c r="CG230" s="67"/>
      <c r="CH230" s="67"/>
      <c r="CI230" s="67"/>
      <c r="CJ230" s="67"/>
      <c r="CK230" s="67"/>
      <c r="CL230" s="67"/>
      <c r="CM230" s="67"/>
      <c r="CN230" s="67"/>
      <c r="CO230" s="67"/>
      <c r="CP230" s="67"/>
      <c r="CQ230" s="67"/>
      <c r="CR230" s="67"/>
      <c r="CS230" s="67"/>
      <c r="CT230" s="67"/>
      <c r="CU230" s="67"/>
      <c r="CV230" s="67"/>
      <c r="CW230" s="67"/>
      <c r="CX230" s="67"/>
      <c r="CY230" s="67"/>
      <c r="CZ230" s="67"/>
      <c r="DA230" s="67"/>
      <c r="DB230" s="67"/>
      <c r="DC230" s="67"/>
      <c r="DD230" s="67"/>
      <c r="DE230" s="67"/>
      <c r="DF230" s="67"/>
      <c r="DG230" s="67"/>
      <c r="DH230" s="67"/>
      <c r="DI230" s="67"/>
      <c r="DJ230" s="67"/>
      <c r="DK230" s="67"/>
      <c r="DL230" s="67"/>
      <c r="DM230" s="67"/>
      <c r="DN230" s="67"/>
      <c r="DO230" s="67"/>
      <c r="DP230" s="67"/>
      <c r="DQ230" s="67"/>
      <c r="DR230" s="67"/>
      <c r="DS230" s="67"/>
      <c r="DT230" s="67"/>
      <c r="DU230" s="67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  <c r="ER230" s="6"/>
      <c r="ES230" s="6"/>
      <c r="ET230" s="6"/>
      <c r="EU230" s="6"/>
      <c r="EV230" s="6"/>
      <c r="EW230" s="6"/>
      <c r="EX230" s="6"/>
      <c r="EY230" s="6"/>
      <c r="EZ230" s="6"/>
      <c r="FA230" s="6"/>
      <c r="FB230" s="6"/>
      <c r="FC230" s="6"/>
      <c r="FD230" s="6"/>
      <c r="FE230" s="6"/>
      <c r="FF230" s="6"/>
      <c r="FG230" s="6"/>
      <c r="FH230" s="6"/>
      <c r="FI230" s="6"/>
      <c r="FJ230" s="6"/>
      <c r="FK230" s="6"/>
      <c r="FL230" s="6"/>
      <c r="FM230" s="6"/>
      <c r="FN230" s="6"/>
      <c r="FO230" s="6"/>
      <c r="FP230" s="6"/>
      <c r="FQ230" s="6"/>
      <c r="FR230" s="6"/>
      <c r="FS230" s="6"/>
      <c r="FT230" s="6"/>
      <c r="FU230" s="6"/>
      <c r="FV230" s="6"/>
      <c r="FW230" s="6"/>
      <c r="FX230" s="6"/>
      <c r="FY230" s="6"/>
      <c r="FZ230" s="6"/>
      <c r="GA230" s="6"/>
      <c r="GB230" s="6"/>
      <c r="GC230" s="6"/>
      <c r="GD230" s="6"/>
      <c r="GE230" s="6"/>
      <c r="GF230" s="6"/>
      <c r="GG230" s="6"/>
      <c r="GH230" s="6"/>
      <c r="GI230" s="6"/>
      <c r="GJ230" s="6"/>
      <c r="GK230" s="6"/>
      <c r="GL230" s="6"/>
    </row>
    <row r="231" spans="1:194" x14ac:dyDescent="0.25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  <c r="AA231" s="67"/>
      <c r="AB231" s="67"/>
      <c r="AC231" s="67"/>
      <c r="AD231" s="67"/>
      <c r="AE231" s="67"/>
      <c r="AF231" s="67"/>
      <c r="AG231" s="67"/>
      <c r="AH231" s="67"/>
      <c r="AI231" s="67"/>
      <c r="AJ231" s="67"/>
      <c r="AK231" s="67"/>
      <c r="AL231" s="67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  <c r="BI231" s="67"/>
      <c r="BJ231" s="67"/>
      <c r="BK231" s="67"/>
      <c r="BL231" s="67"/>
      <c r="BM231" s="67"/>
      <c r="BN231" s="67"/>
      <c r="BO231" s="67"/>
      <c r="BP231" s="67"/>
      <c r="BQ231" s="67"/>
      <c r="BR231" s="67"/>
      <c r="BS231" s="67"/>
      <c r="BT231" s="67"/>
      <c r="BU231" s="67"/>
      <c r="BV231" s="67"/>
      <c r="BW231" s="67"/>
      <c r="BX231" s="67"/>
      <c r="BY231" s="67"/>
      <c r="BZ231" s="67"/>
      <c r="CA231" s="67"/>
      <c r="CB231" s="67"/>
      <c r="CC231" s="67"/>
      <c r="CD231" s="67"/>
      <c r="CE231" s="67"/>
      <c r="CF231" s="67"/>
      <c r="CG231" s="67"/>
      <c r="CH231" s="67"/>
      <c r="CI231" s="67"/>
      <c r="CJ231" s="67"/>
      <c r="CK231" s="67"/>
      <c r="CL231" s="67"/>
      <c r="CM231" s="67"/>
      <c r="CN231" s="67"/>
      <c r="CO231" s="67"/>
      <c r="CP231" s="67"/>
      <c r="CQ231" s="67"/>
      <c r="CR231" s="67"/>
      <c r="CS231" s="67"/>
      <c r="CT231" s="67"/>
      <c r="CU231" s="67"/>
      <c r="CV231" s="67"/>
      <c r="CW231" s="67"/>
      <c r="CX231" s="67"/>
      <c r="CY231" s="67"/>
      <c r="CZ231" s="67"/>
      <c r="DA231" s="67"/>
      <c r="DB231" s="67"/>
      <c r="DC231" s="67"/>
      <c r="DD231" s="67"/>
      <c r="DE231" s="67"/>
      <c r="DF231" s="67"/>
      <c r="DG231" s="67"/>
      <c r="DH231" s="67"/>
      <c r="DI231" s="67"/>
      <c r="DJ231" s="67"/>
      <c r="DK231" s="67"/>
      <c r="DL231" s="67"/>
      <c r="DM231" s="67"/>
      <c r="DN231" s="67"/>
      <c r="DO231" s="67"/>
      <c r="DP231" s="67"/>
      <c r="DQ231" s="67"/>
      <c r="DR231" s="67"/>
      <c r="DS231" s="67"/>
      <c r="DT231" s="67"/>
      <c r="DU231" s="67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  <c r="ER231" s="6"/>
      <c r="ES231" s="6"/>
      <c r="ET231" s="6"/>
      <c r="EU231" s="6"/>
      <c r="EV231" s="6"/>
      <c r="EW231" s="6"/>
      <c r="EX231" s="6"/>
      <c r="EY231" s="6"/>
      <c r="EZ231" s="6"/>
      <c r="FA231" s="6"/>
      <c r="FB231" s="6"/>
      <c r="FC231" s="6"/>
      <c r="FD231" s="6"/>
      <c r="FE231" s="6"/>
      <c r="FF231" s="6"/>
      <c r="FG231" s="6"/>
      <c r="FH231" s="6"/>
      <c r="FI231" s="6"/>
      <c r="FJ231" s="6"/>
      <c r="FK231" s="6"/>
      <c r="FL231" s="6"/>
      <c r="FM231" s="6"/>
      <c r="FN231" s="6"/>
      <c r="FO231" s="6"/>
      <c r="FP231" s="6"/>
      <c r="FQ231" s="6"/>
      <c r="FR231" s="6"/>
      <c r="FS231" s="6"/>
      <c r="FT231" s="6"/>
      <c r="FU231" s="6"/>
      <c r="FV231" s="6"/>
      <c r="FW231" s="6"/>
      <c r="FX231" s="6"/>
      <c r="FY231" s="6"/>
      <c r="FZ231" s="6"/>
      <c r="GA231" s="6"/>
      <c r="GB231" s="6"/>
      <c r="GC231" s="6"/>
      <c r="GD231" s="6"/>
      <c r="GE231" s="6"/>
      <c r="GF231" s="6"/>
      <c r="GG231" s="6"/>
      <c r="GH231" s="6"/>
      <c r="GI231" s="6"/>
      <c r="GJ231" s="6"/>
      <c r="GK231" s="6"/>
      <c r="GL231" s="6"/>
    </row>
    <row r="232" spans="1:194" x14ac:dyDescent="0.25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  <c r="AA232" s="67"/>
      <c r="AB232" s="67"/>
      <c r="AC232" s="67"/>
      <c r="AD232" s="67"/>
      <c r="AE232" s="67"/>
      <c r="AF232" s="67"/>
      <c r="AG232" s="67"/>
      <c r="AH232" s="67"/>
      <c r="AI232" s="67"/>
      <c r="AJ232" s="67"/>
      <c r="AK232" s="67"/>
      <c r="AL232" s="67"/>
      <c r="AM232" s="67"/>
      <c r="AN232" s="67"/>
      <c r="AO232" s="67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  <c r="BB232" s="67"/>
      <c r="BC232" s="67"/>
      <c r="BD232" s="67"/>
      <c r="BE232" s="67"/>
      <c r="BF232" s="67"/>
      <c r="BG232" s="67"/>
      <c r="BH232" s="67"/>
      <c r="BI232" s="67"/>
      <c r="BJ232" s="67"/>
      <c r="BK232" s="67"/>
      <c r="BL232" s="67"/>
      <c r="BM232" s="67"/>
      <c r="BN232" s="67"/>
      <c r="BO232" s="67"/>
      <c r="BP232" s="67"/>
      <c r="BQ232" s="67"/>
      <c r="BR232" s="67"/>
      <c r="BS232" s="67"/>
      <c r="BT232" s="67"/>
      <c r="BU232" s="67"/>
      <c r="BV232" s="67"/>
      <c r="BW232" s="67"/>
      <c r="BX232" s="67"/>
      <c r="BY232" s="67"/>
      <c r="BZ232" s="67"/>
      <c r="CA232" s="67"/>
      <c r="CB232" s="67"/>
      <c r="CC232" s="67"/>
      <c r="CD232" s="67"/>
      <c r="CE232" s="67"/>
      <c r="CF232" s="67"/>
      <c r="CG232" s="67"/>
      <c r="CH232" s="67"/>
      <c r="CI232" s="67"/>
      <c r="CJ232" s="67"/>
      <c r="CK232" s="67"/>
      <c r="CL232" s="67"/>
      <c r="CM232" s="67"/>
      <c r="CN232" s="67"/>
      <c r="CO232" s="67"/>
      <c r="CP232" s="67"/>
      <c r="CQ232" s="67"/>
      <c r="CR232" s="67"/>
      <c r="CS232" s="67"/>
      <c r="CT232" s="67"/>
      <c r="CU232" s="67"/>
      <c r="CV232" s="67"/>
      <c r="CW232" s="67"/>
      <c r="CX232" s="67"/>
      <c r="CY232" s="67"/>
      <c r="CZ232" s="67"/>
      <c r="DA232" s="67"/>
      <c r="DB232" s="67"/>
      <c r="DC232" s="67"/>
      <c r="DD232" s="67"/>
      <c r="DE232" s="67"/>
      <c r="DF232" s="67"/>
      <c r="DG232" s="67"/>
      <c r="DH232" s="67"/>
      <c r="DI232" s="67"/>
      <c r="DJ232" s="67"/>
      <c r="DK232" s="67"/>
      <c r="DL232" s="67"/>
      <c r="DM232" s="67"/>
      <c r="DN232" s="67"/>
      <c r="DO232" s="67"/>
      <c r="DP232" s="67"/>
      <c r="DQ232" s="67"/>
      <c r="DR232" s="67"/>
      <c r="DS232" s="67"/>
      <c r="DT232" s="67"/>
      <c r="DU232" s="67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  <c r="ER232" s="6"/>
      <c r="ES232" s="6"/>
      <c r="ET232" s="6"/>
      <c r="EU232" s="6"/>
      <c r="EV232" s="6"/>
      <c r="EW232" s="6"/>
      <c r="EX232" s="6"/>
      <c r="EY232" s="6"/>
      <c r="EZ232" s="6"/>
      <c r="FA232" s="6"/>
      <c r="FB232" s="6"/>
      <c r="FC232" s="6"/>
      <c r="FD232" s="6"/>
      <c r="FE232" s="6"/>
      <c r="FF232" s="6"/>
      <c r="FG232" s="6"/>
      <c r="FH232" s="6"/>
      <c r="FI232" s="6"/>
      <c r="FJ232" s="6"/>
      <c r="FK232" s="6"/>
      <c r="FL232" s="6"/>
      <c r="FM232" s="6"/>
      <c r="FN232" s="6"/>
      <c r="FO232" s="6"/>
      <c r="FP232" s="6"/>
      <c r="FQ232" s="6"/>
      <c r="FR232" s="6"/>
      <c r="FS232" s="6"/>
      <c r="FT232" s="6"/>
      <c r="FU232" s="6"/>
      <c r="FV232" s="6"/>
      <c r="FW232" s="6"/>
      <c r="FX232" s="6"/>
      <c r="FY232" s="6"/>
      <c r="FZ232" s="6"/>
      <c r="GA232" s="6"/>
      <c r="GB232" s="6"/>
      <c r="GC232" s="6"/>
      <c r="GD232" s="6"/>
      <c r="GE232" s="6"/>
      <c r="GF232" s="6"/>
      <c r="GG232" s="6"/>
      <c r="GH232" s="6"/>
      <c r="GI232" s="6"/>
      <c r="GJ232" s="6"/>
      <c r="GK232" s="6"/>
      <c r="GL232" s="6"/>
    </row>
    <row r="233" spans="1:194" x14ac:dyDescent="0.25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7"/>
      <c r="AE233" s="67"/>
      <c r="AF233" s="67"/>
      <c r="AG233" s="67"/>
      <c r="AH233" s="67"/>
      <c r="AI233" s="67"/>
      <c r="AJ233" s="67"/>
      <c r="AK233" s="67"/>
      <c r="AL233" s="67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  <c r="BB233" s="67"/>
      <c r="BC233" s="67"/>
      <c r="BD233" s="67"/>
      <c r="BE233" s="67"/>
      <c r="BF233" s="67"/>
      <c r="BG233" s="67"/>
      <c r="BH233" s="67"/>
      <c r="BI233" s="67"/>
      <c r="BJ233" s="67"/>
      <c r="BK233" s="67"/>
      <c r="BL233" s="67"/>
      <c r="BM233" s="67"/>
      <c r="BN233" s="67"/>
      <c r="BO233" s="67"/>
      <c r="BP233" s="67"/>
      <c r="BQ233" s="67"/>
      <c r="BR233" s="67"/>
      <c r="BS233" s="67"/>
      <c r="BT233" s="67"/>
      <c r="BU233" s="67"/>
      <c r="BV233" s="67"/>
      <c r="BW233" s="67"/>
      <c r="BX233" s="67"/>
      <c r="BY233" s="67"/>
      <c r="BZ233" s="67"/>
      <c r="CA233" s="67"/>
      <c r="CB233" s="67"/>
      <c r="CC233" s="67"/>
      <c r="CD233" s="67"/>
      <c r="CE233" s="67"/>
      <c r="CF233" s="67"/>
      <c r="CG233" s="67"/>
      <c r="CH233" s="67"/>
      <c r="CI233" s="67"/>
      <c r="CJ233" s="67"/>
      <c r="CK233" s="67"/>
      <c r="CL233" s="67"/>
      <c r="CM233" s="67"/>
      <c r="CN233" s="67"/>
      <c r="CO233" s="67"/>
      <c r="CP233" s="67"/>
      <c r="CQ233" s="67"/>
      <c r="CR233" s="67"/>
      <c r="CS233" s="67"/>
      <c r="CT233" s="67"/>
      <c r="CU233" s="67"/>
      <c r="CV233" s="67"/>
      <c r="CW233" s="67"/>
      <c r="CX233" s="67"/>
      <c r="CY233" s="67"/>
      <c r="CZ233" s="67"/>
      <c r="DA233" s="67"/>
      <c r="DB233" s="67"/>
      <c r="DC233" s="67"/>
      <c r="DD233" s="67"/>
      <c r="DE233" s="67"/>
      <c r="DF233" s="67"/>
      <c r="DG233" s="67"/>
      <c r="DH233" s="67"/>
      <c r="DI233" s="67"/>
      <c r="DJ233" s="67"/>
      <c r="DK233" s="67"/>
      <c r="DL233" s="67"/>
      <c r="DM233" s="67"/>
      <c r="DN233" s="67"/>
      <c r="DO233" s="67"/>
      <c r="DP233" s="67"/>
      <c r="DQ233" s="67"/>
      <c r="DR233" s="67"/>
      <c r="DS233" s="67"/>
      <c r="DT233" s="67"/>
      <c r="DU233" s="67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  <c r="ER233" s="6"/>
      <c r="ES233" s="6"/>
      <c r="ET233" s="6"/>
      <c r="EU233" s="6"/>
      <c r="EV233" s="6"/>
      <c r="EW233" s="6"/>
      <c r="EX233" s="6"/>
      <c r="EY233" s="6"/>
      <c r="EZ233" s="6"/>
      <c r="FA233" s="6"/>
      <c r="FB233" s="6"/>
      <c r="FC233" s="6"/>
      <c r="FD233" s="6"/>
      <c r="FE233" s="6"/>
      <c r="FF233" s="6"/>
      <c r="FG233" s="6"/>
      <c r="FH233" s="6"/>
      <c r="FI233" s="6"/>
      <c r="FJ233" s="6"/>
      <c r="FK233" s="6"/>
      <c r="FL233" s="6"/>
      <c r="FM233" s="6"/>
      <c r="FN233" s="6"/>
      <c r="FO233" s="6"/>
      <c r="FP233" s="6"/>
      <c r="FQ233" s="6"/>
      <c r="FR233" s="6"/>
      <c r="FS233" s="6"/>
      <c r="FT233" s="6"/>
      <c r="FU233" s="6"/>
      <c r="FV233" s="6"/>
      <c r="FW233" s="6"/>
      <c r="FX233" s="6"/>
      <c r="FY233" s="6"/>
      <c r="FZ233" s="6"/>
      <c r="GA233" s="6"/>
      <c r="GB233" s="6"/>
      <c r="GC233" s="6"/>
      <c r="GD233" s="6"/>
      <c r="GE233" s="6"/>
      <c r="GF233" s="6"/>
      <c r="GG233" s="6"/>
      <c r="GH233" s="6"/>
      <c r="GI233" s="6"/>
      <c r="GJ233" s="6"/>
      <c r="GK233" s="6"/>
      <c r="GL233" s="6"/>
    </row>
    <row r="234" spans="1:194" x14ac:dyDescent="0.25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L234" s="67"/>
      <c r="M234" s="67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7"/>
      <c r="AE234" s="67"/>
      <c r="AF234" s="67"/>
      <c r="AG234" s="67"/>
      <c r="AH234" s="67"/>
      <c r="AI234" s="67"/>
      <c r="AJ234" s="67"/>
      <c r="AK234" s="67"/>
      <c r="AL234" s="67"/>
      <c r="AM234" s="67"/>
      <c r="AN234" s="67"/>
      <c r="AO234" s="67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  <c r="BB234" s="67"/>
      <c r="BC234" s="67"/>
      <c r="BD234" s="67"/>
      <c r="BE234" s="67"/>
      <c r="BF234" s="67"/>
      <c r="BG234" s="67"/>
      <c r="BH234" s="67"/>
      <c r="BI234" s="67"/>
      <c r="BJ234" s="67"/>
      <c r="BK234" s="67"/>
      <c r="BL234" s="67"/>
      <c r="BM234" s="67"/>
      <c r="BN234" s="67"/>
      <c r="BO234" s="67"/>
      <c r="BP234" s="67"/>
      <c r="BQ234" s="67"/>
      <c r="BR234" s="67"/>
      <c r="BS234" s="67"/>
      <c r="BT234" s="67"/>
      <c r="BU234" s="67"/>
      <c r="BV234" s="67"/>
      <c r="BW234" s="67"/>
      <c r="BX234" s="67"/>
      <c r="BY234" s="67"/>
      <c r="BZ234" s="67"/>
      <c r="CA234" s="67"/>
      <c r="CB234" s="67"/>
      <c r="CC234" s="67"/>
      <c r="CD234" s="67"/>
      <c r="CE234" s="67"/>
      <c r="CF234" s="67"/>
      <c r="CG234" s="67"/>
      <c r="CH234" s="67"/>
      <c r="CI234" s="67"/>
      <c r="CJ234" s="67"/>
      <c r="CK234" s="67"/>
      <c r="CL234" s="67"/>
      <c r="CM234" s="67"/>
      <c r="CN234" s="67"/>
      <c r="CO234" s="67"/>
      <c r="CP234" s="67"/>
      <c r="CQ234" s="67"/>
      <c r="CR234" s="67"/>
      <c r="CS234" s="67"/>
      <c r="CT234" s="67"/>
      <c r="CU234" s="67"/>
      <c r="CV234" s="67"/>
      <c r="CW234" s="67"/>
      <c r="CX234" s="67"/>
      <c r="CY234" s="67"/>
      <c r="CZ234" s="67"/>
      <c r="DA234" s="67"/>
      <c r="DB234" s="67"/>
      <c r="DC234" s="67"/>
      <c r="DD234" s="67"/>
      <c r="DE234" s="67"/>
      <c r="DF234" s="67"/>
      <c r="DG234" s="67"/>
      <c r="DH234" s="67"/>
      <c r="DI234" s="67"/>
      <c r="DJ234" s="67"/>
      <c r="DK234" s="67"/>
      <c r="DL234" s="67"/>
      <c r="DM234" s="67"/>
      <c r="DN234" s="67"/>
      <c r="DO234" s="67"/>
      <c r="DP234" s="67"/>
      <c r="DQ234" s="67"/>
      <c r="DR234" s="67"/>
      <c r="DS234" s="67"/>
      <c r="DT234" s="67"/>
      <c r="DU234" s="67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  <c r="ER234" s="6"/>
      <c r="ES234" s="6"/>
      <c r="ET234" s="6"/>
      <c r="EU234" s="6"/>
      <c r="EV234" s="6"/>
      <c r="EW234" s="6"/>
      <c r="EX234" s="6"/>
      <c r="EY234" s="6"/>
      <c r="EZ234" s="6"/>
      <c r="FA234" s="6"/>
      <c r="FB234" s="6"/>
      <c r="FC234" s="6"/>
      <c r="FD234" s="6"/>
      <c r="FE234" s="6"/>
      <c r="FF234" s="6"/>
      <c r="FG234" s="6"/>
      <c r="FH234" s="6"/>
      <c r="FI234" s="6"/>
      <c r="FJ234" s="6"/>
      <c r="FK234" s="6"/>
      <c r="FL234" s="6"/>
      <c r="FM234" s="6"/>
      <c r="FN234" s="6"/>
      <c r="FO234" s="6"/>
      <c r="FP234" s="6"/>
      <c r="FQ234" s="6"/>
      <c r="FR234" s="6"/>
      <c r="FS234" s="6"/>
      <c r="FT234" s="6"/>
      <c r="FU234" s="6"/>
      <c r="FV234" s="6"/>
      <c r="FW234" s="6"/>
      <c r="FX234" s="6"/>
      <c r="FY234" s="6"/>
      <c r="FZ234" s="6"/>
      <c r="GA234" s="6"/>
      <c r="GB234" s="6"/>
      <c r="GC234" s="6"/>
      <c r="GD234" s="6"/>
      <c r="GE234" s="6"/>
      <c r="GF234" s="6"/>
      <c r="GG234" s="6"/>
      <c r="GH234" s="6"/>
      <c r="GI234" s="6"/>
      <c r="GJ234" s="6"/>
      <c r="GK234" s="6"/>
      <c r="GL234" s="6"/>
    </row>
    <row r="235" spans="1:194" x14ac:dyDescent="0.25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  <c r="AA235" s="67"/>
      <c r="AB235" s="67"/>
      <c r="AC235" s="67"/>
      <c r="AD235" s="67"/>
      <c r="AE235" s="67"/>
      <c r="AF235" s="67"/>
      <c r="AG235" s="67"/>
      <c r="AH235" s="67"/>
      <c r="AI235" s="67"/>
      <c r="AJ235" s="67"/>
      <c r="AK235" s="67"/>
      <c r="AL235" s="67"/>
      <c r="AM235" s="67"/>
      <c r="AN235" s="67"/>
      <c r="AO235" s="67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  <c r="BB235" s="67"/>
      <c r="BC235" s="67"/>
      <c r="BD235" s="67"/>
      <c r="BE235" s="67"/>
      <c r="BF235" s="67"/>
      <c r="BG235" s="67"/>
      <c r="BH235" s="67"/>
      <c r="BI235" s="67"/>
      <c r="BJ235" s="67"/>
      <c r="BK235" s="67"/>
      <c r="BL235" s="67"/>
      <c r="BM235" s="67"/>
      <c r="BN235" s="67"/>
      <c r="BO235" s="67"/>
      <c r="BP235" s="67"/>
      <c r="BQ235" s="67"/>
      <c r="BR235" s="67"/>
      <c r="BS235" s="67"/>
      <c r="BT235" s="67"/>
      <c r="BU235" s="67"/>
      <c r="BV235" s="67"/>
      <c r="BW235" s="67"/>
      <c r="BX235" s="67"/>
      <c r="BY235" s="67"/>
      <c r="BZ235" s="67"/>
      <c r="CA235" s="67"/>
      <c r="CB235" s="67"/>
      <c r="CC235" s="67"/>
      <c r="CD235" s="67"/>
      <c r="CE235" s="67"/>
      <c r="CF235" s="67"/>
      <c r="CG235" s="67"/>
      <c r="CH235" s="67"/>
      <c r="CI235" s="67"/>
      <c r="CJ235" s="67"/>
      <c r="CK235" s="67"/>
      <c r="CL235" s="67"/>
      <c r="CM235" s="67"/>
      <c r="CN235" s="67"/>
      <c r="CO235" s="67"/>
      <c r="CP235" s="67"/>
      <c r="CQ235" s="67"/>
      <c r="CR235" s="67"/>
      <c r="CS235" s="67"/>
      <c r="CT235" s="67"/>
      <c r="CU235" s="67"/>
      <c r="CV235" s="67"/>
      <c r="CW235" s="67"/>
      <c r="CX235" s="67"/>
      <c r="CY235" s="67"/>
      <c r="CZ235" s="67"/>
      <c r="DA235" s="67"/>
      <c r="DB235" s="67"/>
      <c r="DC235" s="67"/>
      <c r="DD235" s="67"/>
      <c r="DE235" s="67"/>
      <c r="DF235" s="67"/>
      <c r="DG235" s="67"/>
      <c r="DH235" s="67"/>
      <c r="DI235" s="67"/>
      <c r="DJ235" s="67"/>
      <c r="DK235" s="67"/>
      <c r="DL235" s="67"/>
      <c r="DM235" s="67"/>
      <c r="DN235" s="67"/>
      <c r="DO235" s="67"/>
      <c r="DP235" s="67"/>
      <c r="DQ235" s="67"/>
      <c r="DR235" s="67"/>
      <c r="DS235" s="67"/>
      <c r="DT235" s="67"/>
      <c r="DU235" s="67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  <c r="ER235" s="6"/>
      <c r="ES235" s="6"/>
      <c r="ET235" s="6"/>
      <c r="EU235" s="6"/>
      <c r="EV235" s="6"/>
      <c r="EW235" s="6"/>
      <c r="EX235" s="6"/>
      <c r="EY235" s="6"/>
      <c r="EZ235" s="6"/>
      <c r="FA235" s="6"/>
      <c r="FB235" s="6"/>
      <c r="FC235" s="6"/>
      <c r="FD235" s="6"/>
      <c r="FE235" s="6"/>
      <c r="FF235" s="6"/>
      <c r="FG235" s="6"/>
      <c r="FH235" s="6"/>
      <c r="FI235" s="6"/>
      <c r="FJ235" s="6"/>
      <c r="FK235" s="6"/>
      <c r="FL235" s="6"/>
      <c r="FM235" s="6"/>
      <c r="FN235" s="6"/>
      <c r="FO235" s="6"/>
      <c r="FP235" s="6"/>
      <c r="FQ235" s="6"/>
      <c r="FR235" s="6"/>
      <c r="FS235" s="6"/>
      <c r="FT235" s="6"/>
      <c r="FU235" s="6"/>
      <c r="FV235" s="6"/>
      <c r="FW235" s="6"/>
      <c r="FX235" s="6"/>
      <c r="FY235" s="6"/>
      <c r="FZ235" s="6"/>
      <c r="GA235" s="6"/>
      <c r="GB235" s="6"/>
      <c r="GC235" s="6"/>
      <c r="GD235" s="6"/>
      <c r="GE235" s="6"/>
      <c r="GF235" s="6"/>
      <c r="GG235" s="6"/>
      <c r="GH235" s="6"/>
      <c r="GI235" s="6"/>
      <c r="GJ235" s="6"/>
      <c r="GK235" s="6"/>
      <c r="GL235" s="6"/>
    </row>
    <row r="236" spans="1:194" x14ac:dyDescent="0.25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  <c r="AF236" s="67"/>
      <c r="AG236" s="67"/>
      <c r="AH236" s="67"/>
      <c r="AI236" s="67"/>
      <c r="AJ236" s="67"/>
      <c r="AK236" s="67"/>
      <c r="AL236" s="67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  <c r="BB236" s="67"/>
      <c r="BC236" s="67"/>
      <c r="BD236" s="67"/>
      <c r="BE236" s="67"/>
      <c r="BF236" s="67"/>
      <c r="BG236" s="67"/>
      <c r="BH236" s="67"/>
      <c r="BI236" s="67"/>
      <c r="BJ236" s="67"/>
      <c r="BK236" s="67"/>
      <c r="BL236" s="67"/>
      <c r="BM236" s="67"/>
      <c r="BN236" s="67"/>
      <c r="BO236" s="67"/>
      <c r="BP236" s="67"/>
      <c r="BQ236" s="67"/>
      <c r="BR236" s="67"/>
      <c r="BS236" s="67"/>
      <c r="BT236" s="67"/>
      <c r="BU236" s="67"/>
      <c r="BV236" s="67"/>
      <c r="BW236" s="67"/>
      <c r="BX236" s="67"/>
      <c r="BY236" s="67"/>
      <c r="BZ236" s="67"/>
      <c r="CA236" s="67"/>
      <c r="CB236" s="67"/>
      <c r="CC236" s="67"/>
      <c r="CD236" s="67"/>
      <c r="CE236" s="67"/>
      <c r="CF236" s="67"/>
      <c r="CG236" s="67"/>
      <c r="CH236" s="67"/>
      <c r="CI236" s="67"/>
      <c r="CJ236" s="67"/>
      <c r="CK236" s="67"/>
      <c r="CL236" s="67"/>
      <c r="CM236" s="67"/>
      <c r="CN236" s="67"/>
      <c r="CO236" s="67"/>
      <c r="CP236" s="67"/>
      <c r="CQ236" s="67"/>
      <c r="CR236" s="67"/>
      <c r="CS236" s="67"/>
      <c r="CT236" s="67"/>
      <c r="CU236" s="67"/>
      <c r="CV236" s="67"/>
      <c r="CW236" s="67"/>
      <c r="CX236" s="67"/>
      <c r="CY236" s="67"/>
      <c r="CZ236" s="67"/>
      <c r="DA236" s="67"/>
      <c r="DB236" s="67"/>
      <c r="DC236" s="67"/>
      <c r="DD236" s="67"/>
      <c r="DE236" s="67"/>
      <c r="DF236" s="67"/>
      <c r="DG236" s="67"/>
      <c r="DH236" s="67"/>
      <c r="DI236" s="67"/>
      <c r="DJ236" s="67"/>
      <c r="DK236" s="67"/>
      <c r="DL236" s="67"/>
      <c r="DM236" s="67"/>
      <c r="DN236" s="67"/>
      <c r="DO236" s="67"/>
      <c r="DP236" s="67"/>
      <c r="DQ236" s="67"/>
      <c r="DR236" s="67"/>
      <c r="DS236" s="67"/>
      <c r="DT236" s="67"/>
      <c r="DU236" s="67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  <c r="ER236" s="6"/>
      <c r="ES236" s="6"/>
      <c r="ET236" s="6"/>
      <c r="EU236" s="6"/>
      <c r="EV236" s="6"/>
      <c r="EW236" s="6"/>
      <c r="EX236" s="6"/>
      <c r="EY236" s="6"/>
      <c r="EZ236" s="6"/>
      <c r="FA236" s="6"/>
      <c r="FB236" s="6"/>
      <c r="FC236" s="6"/>
      <c r="FD236" s="6"/>
      <c r="FE236" s="6"/>
      <c r="FF236" s="6"/>
      <c r="FG236" s="6"/>
      <c r="FH236" s="6"/>
      <c r="FI236" s="6"/>
      <c r="FJ236" s="6"/>
      <c r="FK236" s="6"/>
      <c r="FL236" s="6"/>
      <c r="FM236" s="6"/>
      <c r="FN236" s="6"/>
      <c r="FO236" s="6"/>
      <c r="FP236" s="6"/>
      <c r="FQ236" s="6"/>
      <c r="FR236" s="6"/>
      <c r="FS236" s="6"/>
      <c r="FT236" s="6"/>
      <c r="FU236" s="6"/>
      <c r="FV236" s="6"/>
      <c r="FW236" s="6"/>
      <c r="FX236" s="6"/>
      <c r="FY236" s="6"/>
      <c r="FZ236" s="6"/>
      <c r="GA236" s="6"/>
      <c r="GB236" s="6"/>
      <c r="GC236" s="6"/>
      <c r="GD236" s="6"/>
      <c r="GE236" s="6"/>
      <c r="GF236" s="6"/>
      <c r="GG236" s="6"/>
      <c r="GH236" s="6"/>
      <c r="GI236" s="6"/>
      <c r="GJ236" s="6"/>
      <c r="GK236" s="6"/>
      <c r="GL236" s="6"/>
    </row>
    <row r="237" spans="1:194" x14ac:dyDescent="0.25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7"/>
      <c r="AH237" s="67"/>
      <c r="AI237" s="67"/>
      <c r="AJ237" s="67"/>
      <c r="AK237" s="67"/>
      <c r="AL237" s="67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  <c r="BI237" s="67"/>
      <c r="BJ237" s="67"/>
      <c r="BK237" s="67"/>
      <c r="BL237" s="67"/>
      <c r="BM237" s="67"/>
      <c r="BN237" s="67"/>
      <c r="BO237" s="67"/>
      <c r="BP237" s="67"/>
      <c r="BQ237" s="67"/>
      <c r="BR237" s="67"/>
      <c r="BS237" s="67"/>
      <c r="BT237" s="67"/>
      <c r="BU237" s="67"/>
      <c r="BV237" s="67"/>
      <c r="BW237" s="67"/>
      <c r="BX237" s="67"/>
      <c r="BY237" s="67"/>
      <c r="BZ237" s="67"/>
      <c r="CA237" s="67"/>
      <c r="CB237" s="67"/>
      <c r="CC237" s="67"/>
      <c r="CD237" s="67"/>
      <c r="CE237" s="67"/>
      <c r="CF237" s="67"/>
      <c r="CG237" s="67"/>
      <c r="CH237" s="67"/>
      <c r="CI237" s="67"/>
      <c r="CJ237" s="67"/>
      <c r="CK237" s="67"/>
      <c r="CL237" s="67"/>
      <c r="CM237" s="67"/>
      <c r="CN237" s="67"/>
      <c r="CO237" s="67"/>
      <c r="CP237" s="67"/>
      <c r="CQ237" s="67"/>
      <c r="CR237" s="67"/>
      <c r="CS237" s="67"/>
      <c r="CT237" s="67"/>
      <c r="CU237" s="67"/>
      <c r="CV237" s="67"/>
      <c r="CW237" s="67"/>
      <c r="CX237" s="67"/>
      <c r="CY237" s="67"/>
      <c r="CZ237" s="67"/>
      <c r="DA237" s="67"/>
      <c r="DB237" s="67"/>
      <c r="DC237" s="67"/>
      <c r="DD237" s="67"/>
      <c r="DE237" s="67"/>
      <c r="DF237" s="67"/>
      <c r="DG237" s="67"/>
      <c r="DH237" s="67"/>
      <c r="DI237" s="67"/>
      <c r="DJ237" s="67"/>
      <c r="DK237" s="67"/>
      <c r="DL237" s="67"/>
      <c r="DM237" s="67"/>
      <c r="DN237" s="67"/>
      <c r="DO237" s="67"/>
      <c r="DP237" s="67"/>
      <c r="DQ237" s="67"/>
      <c r="DR237" s="67"/>
      <c r="DS237" s="67"/>
      <c r="DT237" s="67"/>
      <c r="DU237" s="67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  <c r="ER237" s="6"/>
      <c r="ES237" s="6"/>
      <c r="ET237" s="6"/>
      <c r="EU237" s="6"/>
      <c r="EV237" s="6"/>
      <c r="EW237" s="6"/>
      <c r="EX237" s="6"/>
      <c r="EY237" s="6"/>
      <c r="EZ237" s="6"/>
      <c r="FA237" s="6"/>
      <c r="FB237" s="6"/>
      <c r="FC237" s="6"/>
      <c r="FD237" s="6"/>
      <c r="FE237" s="6"/>
      <c r="FF237" s="6"/>
      <c r="FG237" s="6"/>
      <c r="FH237" s="6"/>
      <c r="FI237" s="6"/>
      <c r="FJ237" s="6"/>
      <c r="FK237" s="6"/>
      <c r="FL237" s="6"/>
      <c r="FM237" s="6"/>
      <c r="FN237" s="6"/>
      <c r="FO237" s="6"/>
      <c r="FP237" s="6"/>
      <c r="FQ237" s="6"/>
      <c r="FR237" s="6"/>
      <c r="FS237" s="6"/>
      <c r="FT237" s="6"/>
      <c r="FU237" s="6"/>
      <c r="FV237" s="6"/>
      <c r="FW237" s="6"/>
      <c r="FX237" s="6"/>
      <c r="FY237" s="6"/>
      <c r="FZ237" s="6"/>
      <c r="GA237" s="6"/>
      <c r="GB237" s="6"/>
      <c r="GC237" s="6"/>
      <c r="GD237" s="6"/>
      <c r="GE237" s="6"/>
      <c r="GF237" s="6"/>
      <c r="GG237" s="6"/>
      <c r="GH237" s="6"/>
      <c r="GI237" s="6"/>
      <c r="GJ237" s="6"/>
      <c r="GK237" s="6"/>
      <c r="GL237" s="6"/>
    </row>
    <row r="238" spans="1:194" x14ac:dyDescent="0.25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  <c r="AF238" s="67"/>
      <c r="AG238" s="67"/>
      <c r="AH238" s="67"/>
      <c r="AI238" s="67"/>
      <c r="AJ238" s="67"/>
      <c r="AK238" s="67"/>
      <c r="AL238" s="67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  <c r="BI238" s="67"/>
      <c r="BJ238" s="67"/>
      <c r="BK238" s="67"/>
      <c r="BL238" s="67"/>
      <c r="BM238" s="67"/>
      <c r="BN238" s="67"/>
      <c r="BO238" s="67"/>
      <c r="BP238" s="67"/>
      <c r="BQ238" s="67"/>
      <c r="BR238" s="67"/>
      <c r="BS238" s="67"/>
      <c r="BT238" s="67"/>
      <c r="BU238" s="67"/>
      <c r="BV238" s="67"/>
      <c r="BW238" s="67"/>
      <c r="BX238" s="67"/>
      <c r="BY238" s="67"/>
      <c r="BZ238" s="67"/>
      <c r="CA238" s="67"/>
      <c r="CB238" s="67"/>
      <c r="CC238" s="67"/>
      <c r="CD238" s="67"/>
      <c r="CE238" s="67"/>
      <c r="CF238" s="67"/>
      <c r="CG238" s="67"/>
      <c r="CH238" s="67"/>
      <c r="CI238" s="67"/>
      <c r="CJ238" s="67"/>
      <c r="CK238" s="67"/>
      <c r="CL238" s="67"/>
      <c r="CM238" s="67"/>
      <c r="CN238" s="67"/>
      <c r="CO238" s="67"/>
      <c r="CP238" s="67"/>
      <c r="CQ238" s="67"/>
      <c r="CR238" s="67"/>
      <c r="CS238" s="67"/>
      <c r="CT238" s="67"/>
      <c r="CU238" s="67"/>
      <c r="CV238" s="67"/>
      <c r="CW238" s="67"/>
      <c r="CX238" s="67"/>
      <c r="CY238" s="67"/>
      <c r="CZ238" s="67"/>
      <c r="DA238" s="67"/>
      <c r="DB238" s="67"/>
      <c r="DC238" s="67"/>
      <c r="DD238" s="67"/>
      <c r="DE238" s="67"/>
      <c r="DF238" s="67"/>
      <c r="DG238" s="67"/>
      <c r="DH238" s="67"/>
      <c r="DI238" s="67"/>
      <c r="DJ238" s="67"/>
      <c r="DK238" s="67"/>
      <c r="DL238" s="67"/>
      <c r="DM238" s="67"/>
      <c r="DN238" s="67"/>
      <c r="DO238" s="67"/>
      <c r="DP238" s="67"/>
      <c r="DQ238" s="67"/>
      <c r="DR238" s="67"/>
      <c r="DS238" s="67"/>
      <c r="DT238" s="67"/>
      <c r="DU238" s="67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  <c r="ER238" s="6"/>
      <c r="ES238" s="6"/>
      <c r="ET238" s="6"/>
      <c r="EU238" s="6"/>
      <c r="EV238" s="6"/>
      <c r="EW238" s="6"/>
      <c r="EX238" s="6"/>
      <c r="EY238" s="6"/>
      <c r="EZ238" s="6"/>
      <c r="FA238" s="6"/>
      <c r="FB238" s="6"/>
      <c r="FC238" s="6"/>
      <c r="FD238" s="6"/>
      <c r="FE238" s="6"/>
      <c r="FF238" s="6"/>
      <c r="FG238" s="6"/>
      <c r="FH238" s="6"/>
      <c r="FI238" s="6"/>
      <c r="FJ238" s="6"/>
      <c r="FK238" s="6"/>
      <c r="FL238" s="6"/>
      <c r="FM238" s="6"/>
      <c r="FN238" s="6"/>
      <c r="FO238" s="6"/>
      <c r="FP238" s="6"/>
      <c r="FQ238" s="6"/>
      <c r="FR238" s="6"/>
      <c r="FS238" s="6"/>
      <c r="FT238" s="6"/>
      <c r="FU238" s="6"/>
      <c r="FV238" s="6"/>
      <c r="FW238" s="6"/>
      <c r="FX238" s="6"/>
      <c r="FY238" s="6"/>
      <c r="FZ238" s="6"/>
      <c r="GA238" s="6"/>
      <c r="GB238" s="6"/>
      <c r="GC238" s="6"/>
      <c r="GD238" s="6"/>
      <c r="GE238" s="6"/>
      <c r="GF238" s="6"/>
      <c r="GG238" s="6"/>
      <c r="GH238" s="6"/>
      <c r="GI238" s="6"/>
      <c r="GJ238" s="6"/>
      <c r="GK238" s="6"/>
      <c r="GL238" s="6"/>
    </row>
    <row r="239" spans="1:194" x14ac:dyDescent="0.25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  <c r="AB239" s="67"/>
      <c r="AC239" s="67"/>
      <c r="AD239" s="67"/>
      <c r="AE239" s="67"/>
      <c r="AF239" s="67"/>
      <c r="AG239" s="67"/>
      <c r="AH239" s="67"/>
      <c r="AI239" s="67"/>
      <c r="AJ239" s="67"/>
      <c r="AK239" s="67"/>
      <c r="AL239" s="67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  <c r="BB239" s="67"/>
      <c r="BC239" s="67"/>
      <c r="BD239" s="67"/>
      <c r="BE239" s="67"/>
      <c r="BF239" s="67"/>
      <c r="BG239" s="67"/>
      <c r="BH239" s="67"/>
      <c r="BI239" s="67"/>
      <c r="BJ239" s="67"/>
      <c r="BK239" s="67"/>
      <c r="BL239" s="67"/>
      <c r="BM239" s="67"/>
      <c r="BN239" s="67"/>
      <c r="BO239" s="67"/>
      <c r="BP239" s="67"/>
      <c r="BQ239" s="67"/>
      <c r="BR239" s="67"/>
      <c r="BS239" s="67"/>
      <c r="BT239" s="67"/>
      <c r="BU239" s="67"/>
      <c r="BV239" s="67"/>
      <c r="BW239" s="67"/>
      <c r="BX239" s="67"/>
      <c r="BY239" s="67"/>
      <c r="BZ239" s="67"/>
      <c r="CA239" s="67"/>
      <c r="CB239" s="67"/>
      <c r="CC239" s="67"/>
      <c r="CD239" s="67"/>
      <c r="CE239" s="67"/>
      <c r="CF239" s="67"/>
      <c r="CG239" s="67"/>
      <c r="CH239" s="67"/>
      <c r="CI239" s="67"/>
      <c r="CJ239" s="67"/>
      <c r="CK239" s="67"/>
      <c r="CL239" s="67"/>
      <c r="CM239" s="67"/>
      <c r="CN239" s="67"/>
      <c r="CO239" s="67"/>
      <c r="CP239" s="67"/>
      <c r="CQ239" s="67"/>
      <c r="CR239" s="67"/>
      <c r="CS239" s="67"/>
      <c r="CT239" s="67"/>
      <c r="CU239" s="67"/>
      <c r="CV239" s="67"/>
      <c r="CW239" s="67"/>
      <c r="CX239" s="67"/>
      <c r="CY239" s="67"/>
      <c r="CZ239" s="67"/>
      <c r="DA239" s="67"/>
      <c r="DB239" s="67"/>
      <c r="DC239" s="67"/>
      <c r="DD239" s="67"/>
      <c r="DE239" s="67"/>
      <c r="DF239" s="67"/>
      <c r="DG239" s="67"/>
      <c r="DH239" s="67"/>
      <c r="DI239" s="67"/>
      <c r="DJ239" s="67"/>
      <c r="DK239" s="67"/>
      <c r="DL239" s="67"/>
      <c r="DM239" s="67"/>
      <c r="DN239" s="67"/>
      <c r="DO239" s="67"/>
      <c r="DP239" s="67"/>
      <c r="DQ239" s="67"/>
      <c r="DR239" s="67"/>
      <c r="DS239" s="67"/>
      <c r="DT239" s="67"/>
      <c r="DU239" s="67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  <c r="ER239" s="6"/>
      <c r="ES239" s="6"/>
      <c r="ET239" s="6"/>
      <c r="EU239" s="6"/>
      <c r="EV239" s="6"/>
      <c r="EW239" s="6"/>
      <c r="EX239" s="6"/>
      <c r="EY239" s="6"/>
      <c r="EZ239" s="6"/>
      <c r="FA239" s="6"/>
      <c r="FB239" s="6"/>
      <c r="FC239" s="6"/>
      <c r="FD239" s="6"/>
      <c r="FE239" s="6"/>
      <c r="FF239" s="6"/>
      <c r="FG239" s="6"/>
      <c r="FH239" s="6"/>
      <c r="FI239" s="6"/>
      <c r="FJ239" s="6"/>
      <c r="FK239" s="6"/>
      <c r="FL239" s="6"/>
      <c r="FM239" s="6"/>
      <c r="FN239" s="6"/>
      <c r="FO239" s="6"/>
      <c r="FP239" s="6"/>
      <c r="FQ239" s="6"/>
      <c r="FR239" s="6"/>
      <c r="FS239" s="6"/>
      <c r="FT239" s="6"/>
      <c r="FU239" s="6"/>
      <c r="FV239" s="6"/>
      <c r="FW239" s="6"/>
      <c r="FX239" s="6"/>
      <c r="FY239" s="6"/>
      <c r="FZ239" s="6"/>
      <c r="GA239" s="6"/>
      <c r="GB239" s="6"/>
      <c r="GC239" s="6"/>
      <c r="GD239" s="6"/>
      <c r="GE239" s="6"/>
      <c r="GF239" s="6"/>
      <c r="GG239" s="6"/>
      <c r="GH239" s="6"/>
      <c r="GI239" s="6"/>
      <c r="GJ239" s="6"/>
      <c r="GK239" s="6"/>
      <c r="GL239" s="6"/>
    </row>
    <row r="240" spans="1:194" x14ac:dyDescent="0.25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  <c r="AF240" s="67"/>
      <c r="AG240" s="67"/>
      <c r="AH240" s="67"/>
      <c r="AI240" s="67"/>
      <c r="AJ240" s="67"/>
      <c r="AK240" s="67"/>
      <c r="AL240" s="67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  <c r="BB240" s="67"/>
      <c r="BC240" s="67"/>
      <c r="BD240" s="67"/>
      <c r="BE240" s="67"/>
      <c r="BF240" s="67"/>
      <c r="BG240" s="67"/>
      <c r="BH240" s="67"/>
      <c r="BI240" s="67"/>
      <c r="BJ240" s="67"/>
      <c r="BK240" s="67"/>
      <c r="BL240" s="67"/>
      <c r="BM240" s="67"/>
      <c r="BN240" s="67"/>
      <c r="BO240" s="67"/>
      <c r="BP240" s="67"/>
      <c r="BQ240" s="67"/>
      <c r="BR240" s="67"/>
      <c r="BS240" s="67"/>
      <c r="BT240" s="67"/>
      <c r="BU240" s="67"/>
      <c r="BV240" s="67"/>
      <c r="BW240" s="67"/>
      <c r="BX240" s="67"/>
      <c r="BY240" s="67"/>
      <c r="BZ240" s="67"/>
      <c r="CA240" s="67"/>
      <c r="CB240" s="67"/>
      <c r="CC240" s="67"/>
      <c r="CD240" s="67"/>
      <c r="CE240" s="67"/>
      <c r="CF240" s="67"/>
      <c r="CG240" s="67"/>
      <c r="CH240" s="67"/>
      <c r="CI240" s="67"/>
      <c r="CJ240" s="67"/>
      <c r="CK240" s="67"/>
      <c r="CL240" s="67"/>
      <c r="CM240" s="67"/>
      <c r="CN240" s="67"/>
      <c r="CO240" s="67"/>
      <c r="CP240" s="67"/>
      <c r="CQ240" s="67"/>
      <c r="CR240" s="67"/>
      <c r="CS240" s="67"/>
      <c r="CT240" s="67"/>
      <c r="CU240" s="67"/>
      <c r="CV240" s="67"/>
      <c r="CW240" s="67"/>
      <c r="CX240" s="67"/>
      <c r="CY240" s="67"/>
      <c r="CZ240" s="67"/>
      <c r="DA240" s="67"/>
      <c r="DB240" s="67"/>
      <c r="DC240" s="67"/>
      <c r="DD240" s="67"/>
      <c r="DE240" s="67"/>
      <c r="DF240" s="67"/>
      <c r="DG240" s="67"/>
      <c r="DH240" s="67"/>
      <c r="DI240" s="67"/>
      <c r="DJ240" s="67"/>
      <c r="DK240" s="67"/>
      <c r="DL240" s="67"/>
      <c r="DM240" s="67"/>
      <c r="DN240" s="67"/>
      <c r="DO240" s="67"/>
      <c r="DP240" s="67"/>
      <c r="DQ240" s="67"/>
      <c r="DR240" s="67"/>
      <c r="DS240" s="67"/>
      <c r="DT240" s="67"/>
      <c r="DU240" s="67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  <c r="ER240" s="6"/>
      <c r="ES240" s="6"/>
      <c r="ET240" s="6"/>
      <c r="EU240" s="6"/>
      <c r="EV240" s="6"/>
      <c r="EW240" s="6"/>
      <c r="EX240" s="6"/>
      <c r="EY240" s="6"/>
      <c r="EZ240" s="6"/>
      <c r="FA240" s="6"/>
      <c r="FB240" s="6"/>
      <c r="FC240" s="6"/>
      <c r="FD240" s="6"/>
      <c r="FE240" s="6"/>
      <c r="FF240" s="6"/>
      <c r="FG240" s="6"/>
      <c r="FH240" s="6"/>
      <c r="FI240" s="6"/>
      <c r="FJ240" s="6"/>
      <c r="FK240" s="6"/>
      <c r="FL240" s="6"/>
      <c r="FM240" s="6"/>
      <c r="FN240" s="6"/>
      <c r="FO240" s="6"/>
      <c r="FP240" s="6"/>
      <c r="FQ240" s="6"/>
      <c r="FR240" s="6"/>
      <c r="FS240" s="6"/>
      <c r="FT240" s="6"/>
      <c r="FU240" s="6"/>
      <c r="FV240" s="6"/>
      <c r="FW240" s="6"/>
      <c r="FX240" s="6"/>
      <c r="FY240" s="6"/>
      <c r="FZ240" s="6"/>
      <c r="GA240" s="6"/>
      <c r="GB240" s="6"/>
      <c r="GC240" s="6"/>
      <c r="GD240" s="6"/>
      <c r="GE240" s="6"/>
      <c r="GF240" s="6"/>
      <c r="GG240" s="6"/>
      <c r="GH240" s="6"/>
      <c r="GI240" s="6"/>
      <c r="GJ240" s="6"/>
      <c r="GK240" s="6"/>
      <c r="GL240" s="6"/>
    </row>
    <row r="241" spans="1:194" x14ac:dyDescent="0.25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  <c r="AF241" s="67"/>
      <c r="AG241" s="67"/>
      <c r="AH241" s="67"/>
      <c r="AI241" s="67"/>
      <c r="AJ241" s="67"/>
      <c r="AK241" s="67"/>
      <c r="AL241" s="67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  <c r="BI241" s="67"/>
      <c r="BJ241" s="67"/>
      <c r="BK241" s="67"/>
      <c r="BL241" s="67"/>
      <c r="BM241" s="67"/>
      <c r="BN241" s="67"/>
      <c r="BO241" s="67"/>
      <c r="BP241" s="67"/>
      <c r="BQ241" s="67"/>
      <c r="BR241" s="67"/>
      <c r="BS241" s="67"/>
      <c r="BT241" s="67"/>
      <c r="BU241" s="67"/>
      <c r="BV241" s="67"/>
      <c r="BW241" s="67"/>
      <c r="BX241" s="67"/>
      <c r="BY241" s="67"/>
      <c r="BZ241" s="67"/>
      <c r="CA241" s="67"/>
      <c r="CB241" s="67"/>
      <c r="CC241" s="67"/>
      <c r="CD241" s="67"/>
      <c r="CE241" s="67"/>
      <c r="CF241" s="67"/>
      <c r="CG241" s="67"/>
      <c r="CH241" s="67"/>
      <c r="CI241" s="67"/>
      <c r="CJ241" s="67"/>
      <c r="CK241" s="67"/>
      <c r="CL241" s="67"/>
      <c r="CM241" s="67"/>
      <c r="CN241" s="67"/>
      <c r="CO241" s="67"/>
      <c r="CP241" s="67"/>
      <c r="CQ241" s="67"/>
      <c r="CR241" s="67"/>
      <c r="CS241" s="67"/>
      <c r="CT241" s="67"/>
      <c r="CU241" s="67"/>
      <c r="CV241" s="67"/>
      <c r="CW241" s="67"/>
      <c r="CX241" s="67"/>
      <c r="CY241" s="67"/>
      <c r="CZ241" s="67"/>
      <c r="DA241" s="67"/>
      <c r="DB241" s="67"/>
      <c r="DC241" s="67"/>
      <c r="DD241" s="67"/>
      <c r="DE241" s="67"/>
      <c r="DF241" s="67"/>
      <c r="DG241" s="67"/>
      <c r="DH241" s="67"/>
      <c r="DI241" s="67"/>
      <c r="DJ241" s="67"/>
      <c r="DK241" s="67"/>
      <c r="DL241" s="67"/>
      <c r="DM241" s="67"/>
      <c r="DN241" s="67"/>
      <c r="DO241" s="67"/>
      <c r="DP241" s="67"/>
      <c r="DQ241" s="67"/>
      <c r="DR241" s="67"/>
      <c r="DS241" s="67"/>
      <c r="DT241" s="67"/>
      <c r="DU241" s="67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  <c r="ER241" s="6"/>
      <c r="ES241" s="6"/>
      <c r="ET241" s="6"/>
      <c r="EU241" s="6"/>
      <c r="EV241" s="6"/>
      <c r="EW241" s="6"/>
      <c r="EX241" s="6"/>
      <c r="EY241" s="6"/>
      <c r="EZ241" s="6"/>
      <c r="FA241" s="6"/>
      <c r="FB241" s="6"/>
      <c r="FC241" s="6"/>
      <c r="FD241" s="6"/>
      <c r="FE241" s="6"/>
      <c r="FF241" s="6"/>
      <c r="FG241" s="6"/>
      <c r="FH241" s="6"/>
      <c r="FI241" s="6"/>
      <c r="FJ241" s="6"/>
      <c r="FK241" s="6"/>
      <c r="FL241" s="6"/>
      <c r="FM241" s="6"/>
      <c r="FN241" s="6"/>
      <c r="FO241" s="6"/>
      <c r="FP241" s="6"/>
      <c r="FQ241" s="6"/>
      <c r="FR241" s="6"/>
      <c r="FS241" s="6"/>
      <c r="FT241" s="6"/>
      <c r="FU241" s="6"/>
      <c r="FV241" s="6"/>
      <c r="FW241" s="6"/>
      <c r="FX241" s="6"/>
      <c r="FY241" s="6"/>
      <c r="FZ241" s="6"/>
      <c r="GA241" s="6"/>
      <c r="GB241" s="6"/>
      <c r="GC241" s="6"/>
      <c r="GD241" s="6"/>
      <c r="GE241" s="6"/>
      <c r="GF241" s="6"/>
      <c r="GG241" s="6"/>
      <c r="GH241" s="6"/>
      <c r="GI241" s="6"/>
      <c r="GJ241" s="6"/>
      <c r="GK241" s="6"/>
      <c r="GL241" s="6"/>
    </row>
    <row r="242" spans="1:194" x14ac:dyDescent="0.25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  <c r="AF242" s="67"/>
      <c r="AG242" s="67"/>
      <c r="AH242" s="67"/>
      <c r="AI242" s="67"/>
      <c r="AJ242" s="67"/>
      <c r="AK242" s="67"/>
      <c r="AL242" s="67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  <c r="BI242" s="67"/>
      <c r="BJ242" s="67"/>
      <c r="BK242" s="67"/>
      <c r="BL242" s="67"/>
      <c r="BM242" s="67"/>
      <c r="BN242" s="67"/>
      <c r="BO242" s="67"/>
      <c r="BP242" s="67"/>
      <c r="BQ242" s="67"/>
      <c r="BR242" s="67"/>
      <c r="BS242" s="67"/>
      <c r="BT242" s="67"/>
      <c r="BU242" s="67"/>
      <c r="BV242" s="67"/>
      <c r="BW242" s="67"/>
      <c r="BX242" s="67"/>
      <c r="BY242" s="67"/>
      <c r="BZ242" s="67"/>
      <c r="CA242" s="67"/>
      <c r="CB242" s="67"/>
      <c r="CC242" s="67"/>
      <c r="CD242" s="67"/>
      <c r="CE242" s="67"/>
      <c r="CF242" s="67"/>
      <c r="CG242" s="67"/>
      <c r="CH242" s="67"/>
      <c r="CI242" s="67"/>
      <c r="CJ242" s="67"/>
      <c r="CK242" s="67"/>
      <c r="CL242" s="67"/>
      <c r="CM242" s="67"/>
      <c r="CN242" s="67"/>
      <c r="CO242" s="67"/>
      <c r="CP242" s="67"/>
      <c r="CQ242" s="67"/>
      <c r="CR242" s="67"/>
      <c r="CS242" s="67"/>
      <c r="CT242" s="67"/>
      <c r="CU242" s="67"/>
      <c r="CV242" s="67"/>
      <c r="CW242" s="67"/>
      <c r="CX242" s="67"/>
      <c r="CY242" s="67"/>
      <c r="CZ242" s="67"/>
      <c r="DA242" s="67"/>
      <c r="DB242" s="67"/>
      <c r="DC242" s="67"/>
      <c r="DD242" s="67"/>
      <c r="DE242" s="67"/>
      <c r="DF242" s="67"/>
      <c r="DG242" s="67"/>
      <c r="DH242" s="67"/>
      <c r="DI242" s="67"/>
      <c r="DJ242" s="67"/>
      <c r="DK242" s="67"/>
      <c r="DL242" s="67"/>
      <c r="DM242" s="67"/>
      <c r="DN242" s="67"/>
      <c r="DO242" s="67"/>
      <c r="DP242" s="67"/>
      <c r="DQ242" s="67"/>
      <c r="DR242" s="67"/>
      <c r="DS242" s="67"/>
      <c r="DT242" s="67"/>
      <c r="DU242" s="67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  <c r="ER242" s="6"/>
      <c r="ES242" s="6"/>
      <c r="ET242" s="6"/>
      <c r="EU242" s="6"/>
      <c r="EV242" s="6"/>
      <c r="EW242" s="6"/>
      <c r="EX242" s="6"/>
      <c r="EY242" s="6"/>
      <c r="EZ242" s="6"/>
      <c r="FA242" s="6"/>
      <c r="FB242" s="6"/>
      <c r="FC242" s="6"/>
      <c r="FD242" s="6"/>
      <c r="FE242" s="6"/>
      <c r="FF242" s="6"/>
      <c r="FG242" s="6"/>
      <c r="FH242" s="6"/>
      <c r="FI242" s="6"/>
      <c r="FJ242" s="6"/>
      <c r="FK242" s="6"/>
      <c r="FL242" s="6"/>
      <c r="FM242" s="6"/>
      <c r="FN242" s="6"/>
      <c r="FO242" s="6"/>
      <c r="FP242" s="6"/>
      <c r="FQ242" s="6"/>
      <c r="FR242" s="6"/>
      <c r="FS242" s="6"/>
      <c r="FT242" s="6"/>
      <c r="FU242" s="6"/>
      <c r="FV242" s="6"/>
      <c r="FW242" s="6"/>
      <c r="FX242" s="6"/>
      <c r="FY242" s="6"/>
      <c r="FZ242" s="6"/>
      <c r="GA242" s="6"/>
      <c r="GB242" s="6"/>
      <c r="GC242" s="6"/>
      <c r="GD242" s="6"/>
      <c r="GE242" s="6"/>
      <c r="GF242" s="6"/>
      <c r="GG242" s="6"/>
      <c r="GH242" s="6"/>
      <c r="GI242" s="6"/>
      <c r="GJ242" s="6"/>
      <c r="GK242" s="6"/>
      <c r="GL242" s="6"/>
    </row>
    <row r="243" spans="1:194" x14ac:dyDescent="0.25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  <c r="AF243" s="67"/>
      <c r="AG243" s="67"/>
      <c r="AH243" s="67"/>
      <c r="AI243" s="67"/>
      <c r="AJ243" s="67"/>
      <c r="AK243" s="67"/>
      <c r="AL243" s="67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  <c r="BI243" s="67"/>
      <c r="BJ243" s="67"/>
      <c r="BK243" s="67"/>
      <c r="BL243" s="67"/>
      <c r="BM243" s="67"/>
      <c r="BN243" s="67"/>
      <c r="BO243" s="67"/>
      <c r="BP243" s="67"/>
      <c r="BQ243" s="67"/>
      <c r="BR243" s="67"/>
      <c r="BS243" s="67"/>
      <c r="BT243" s="67"/>
      <c r="BU243" s="67"/>
      <c r="BV243" s="67"/>
      <c r="BW243" s="67"/>
      <c r="BX243" s="67"/>
      <c r="BY243" s="67"/>
      <c r="BZ243" s="67"/>
      <c r="CA243" s="67"/>
      <c r="CB243" s="67"/>
      <c r="CC243" s="67"/>
      <c r="CD243" s="67"/>
      <c r="CE243" s="67"/>
      <c r="CF243" s="67"/>
      <c r="CG243" s="67"/>
      <c r="CH243" s="67"/>
      <c r="CI243" s="67"/>
      <c r="CJ243" s="67"/>
      <c r="CK243" s="67"/>
      <c r="CL243" s="67"/>
      <c r="CM243" s="67"/>
      <c r="CN243" s="67"/>
      <c r="CO243" s="67"/>
      <c r="CP243" s="67"/>
      <c r="CQ243" s="67"/>
      <c r="CR243" s="67"/>
      <c r="CS243" s="67"/>
      <c r="CT243" s="67"/>
      <c r="CU243" s="67"/>
      <c r="CV243" s="67"/>
      <c r="CW243" s="67"/>
      <c r="CX243" s="67"/>
      <c r="CY243" s="67"/>
      <c r="CZ243" s="67"/>
      <c r="DA243" s="67"/>
      <c r="DB243" s="67"/>
      <c r="DC243" s="67"/>
      <c r="DD243" s="67"/>
      <c r="DE243" s="67"/>
      <c r="DF243" s="67"/>
      <c r="DG243" s="67"/>
      <c r="DH243" s="67"/>
      <c r="DI243" s="67"/>
      <c r="DJ243" s="67"/>
      <c r="DK243" s="67"/>
      <c r="DL243" s="67"/>
      <c r="DM243" s="67"/>
      <c r="DN243" s="67"/>
      <c r="DO243" s="67"/>
      <c r="DP243" s="67"/>
      <c r="DQ243" s="67"/>
      <c r="DR243" s="67"/>
      <c r="DS243" s="67"/>
      <c r="DT243" s="67"/>
      <c r="DU243" s="67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  <c r="ER243" s="6"/>
      <c r="ES243" s="6"/>
      <c r="ET243" s="6"/>
      <c r="EU243" s="6"/>
      <c r="EV243" s="6"/>
      <c r="EW243" s="6"/>
      <c r="EX243" s="6"/>
      <c r="EY243" s="6"/>
      <c r="EZ243" s="6"/>
      <c r="FA243" s="6"/>
      <c r="FB243" s="6"/>
      <c r="FC243" s="6"/>
      <c r="FD243" s="6"/>
      <c r="FE243" s="6"/>
      <c r="FF243" s="6"/>
      <c r="FG243" s="6"/>
      <c r="FH243" s="6"/>
      <c r="FI243" s="6"/>
      <c r="FJ243" s="6"/>
      <c r="FK243" s="6"/>
      <c r="FL243" s="6"/>
      <c r="FM243" s="6"/>
      <c r="FN243" s="6"/>
      <c r="FO243" s="6"/>
      <c r="FP243" s="6"/>
      <c r="FQ243" s="6"/>
      <c r="FR243" s="6"/>
      <c r="FS243" s="6"/>
      <c r="FT243" s="6"/>
      <c r="FU243" s="6"/>
      <c r="FV243" s="6"/>
      <c r="FW243" s="6"/>
      <c r="FX243" s="6"/>
      <c r="FY243" s="6"/>
      <c r="FZ243" s="6"/>
      <c r="GA243" s="6"/>
      <c r="GB243" s="6"/>
      <c r="GC243" s="6"/>
      <c r="GD243" s="6"/>
      <c r="GE243" s="6"/>
      <c r="GF243" s="6"/>
      <c r="GG243" s="6"/>
      <c r="GH243" s="6"/>
      <c r="GI243" s="6"/>
      <c r="GJ243" s="6"/>
      <c r="GK243" s="6"/>
      <c r="GL243" s="6"/>
    </row>
    <row r="244" spans="1:194" x14ac:dyDescent="0.25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  <c r="AA244" s="67"/>
      <c r="AB244" s="67"/>
      <c r="AC244" s="67"/>
      <c r="AD244" s="67"/>
      <c r="AE244" s="67"/>
      <c r="AF244" s="67"/>
      <c r="AG244" s="67"/>
      <c r="AH244" s="67"/>
      <c r="AI244" s="67"/>
      <c r="AJ244" s="67"/>
      <c r="AK244" s="67"/>
      <c r="AL244" s="67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  <c r="AX244" s="67"/>
      <c r="AY244" s="67"/>
      <c r="AZ244" s="67"/>
      <c r="BA244" s="67"/>
      <c r="BB244" s="67"/>
      <c r="BC244" s="67"/>
      <c r="BD244" s="67"/>
      <c r="BE244" s="67"/>
      <c r="BF244" s="67"/>
      <c r="BG244" s="67"/>
      <c r="BH244" s="67"/>
      <c r="BI244" s="67"/>
      <c r="BJ244" s="67"/>
      <c r="BK244" s="67"/>
      <c r="BL244" s="67"/>
      <c r="BM244" s="67"/>
      <c r="BN244" s="67"/>
      <c r="BO244" s="67"/>
      <c r="BP244" s="67"/>
      <c r="BQ244" s="67"/>
      <c r="BR244" s="67"/>
      <c r="BS244" s="67"/>
      <c r="BT244" s="67"/>
      <c r="BU244" s="67"/>
      <c r="BV244" s="67"/>
      <c r="BW244" s="67"/>
      <c r="BX244" s="67"/>
      <c r="BY244" s="67"/>
      <c r="BZ244" s="67"/>
      <c r="CA244" s="67"/>
      <c r="CB244" s="67"/>
      <c r="CC244" s="67"/>
      <c r="CD244" s="67"/>
      <c r="CE244" s="67"/>
      <c r="CF244" s="67"/>
      <c r="CG244" s="67"/>
      <c r="CH244" s="67"/>
      <c r="CI244" s="67"/>
      <c r="CJ244" s="67"/>
      <c r="CK244" s="67"/>
      <c r="CL244" s="67"/>
      <c r="CM244" s="67"/>
      <c r="CN244" s="67"/>
      <c r="CO244" s="67"/>
      <c r="CP244" s="67"/>
      <c r="CQ244" s="67"/>
      <c r="CR244" s="67"/>
      <c r="CS244" s="67"/>
      <c r="CT244" s="67"/>
      <c r="CU244" s="67"/>
      <c r="CV244" s="67"/>
      <c r="CW244" s="67"/>
      <c r="CX244" s="67"/>
      <c r="CY244" s="67"/>
      <c r="CZ244" s="67"/>
      <c r="DA244" s="67"/>
      <c r="DB244" s="67"/>
      <c r="DC244" s="67"/>
      <c r="DD244" s="67"/>
      <c r="DE244" s="67"/>
      <c r="DF244" s="67"/>
      <c r="DG244" s="67"/>
      <c r="DH244" s="67"/>
      <c r="DI244" s="67"/>
      <c r="DJ244" s="67"/>
      <c r="DK244" s="67"/>
      <c r="DL244" s="67"/>
      <c r="DM244" s="67"/>
      <c r="DN244" s="67"/>
      <c r="DO244" s="67"/>
      <c r="DP244" s="67"/>
      <c r="DQ244" s="67"/>
      <c r="DR244" s="67"/>
      <c r="DS244" s="67"/>
      <c r="DT244" s="67"/>
      <c r="DU244" s="67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  <c r="ER244" s="6"/>
      <c r="ES244" s="6"/>
      <c r="ET244" s="6"/>
      <c r="EU244" s="6"/>
      <c r="EV244" s="6"/>
      <c r="EW244" s="6"/>
      <c r="EX244" s="6"/>
      <c r="EY244" s="6"/>
      <c r="EZ244" s="6"/>
      <c r="FA244" s="6"/>
      <c r="FB244" s="6"/>
      <c r="FC244" s="6"/>
      <c r="FD244" s="6"/>
      <c r="FE244" s="6"/>
      <c r="FF244" s="6"/>
      <c r="FG244" s="6"/>
      <c r="FH244" s="6"/>
      <c r="FI244" s="6"/>
      <c r="FJ244" s="6"/>
      <c r="FK244" s="6"/>
      <c r="FL244" s="6"/>
      <c r="FM244" s="6"/>
      <c r="FN244" s="6"/>
      <c r="FO244" s="6"/>
      <c r="FP244" s="6"/>
      <c r="FQ244" s="6"/>
      <c r="FR244" s="6"/>
      <c r="FS244" s="6"/>
      <c r="FT244" s="6"/>
      <c r="FU244" s="6"/>
      <c r="FV244" s="6"/>
      <c r="FW244" s="6"/>
      <c r="FX244" s="6"/>
      <c r="FY244" s="6"/>
      <c r="FZ244" s="6"/>
      <c r="GA244" s="6"/>
      <c r="GB244" s="6"/>
      <c r="GC244" s="6"/>
      <c r="GD244" s="6"/>
      <c r="GE244" s="6"/>
      <c r="GF244" s="6"/>
      <c r="GG244" s="6"/>
      <c r="GH244" s="6"/>
      <c r="GI244" s="6"/>
      <c r="GJ244" s="6"/>
      <c r="GK244" s="6"/>
      <c r="GL244" s="6"/>
    </row>
    <row r="245" spans="1:194" x14ac:dyDescent="0.25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  <c r="AF245" s="67"/>
      <c r="AG245" s="67"/>
      <c r="AH245" s="67"/>
      <c r="AI245" s="67"/>
      <c r="AJ245" s="67"/>
      <c r="AK245" s="67"/>
      <c r="AL245" s="67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  <c r="BB245" s="67"/>
      <c r="BC245" s="67"/>
      <c r="BD245" s="67"/>
      <c r="BE245" s="67"/>
      <c r="BF245" s="67"/>
      <c r="BG245" s="67"/>
      <c r="BH245" s="67"/>
      <c r="BI245" s="67"/>
      <c r="BJ245" s="67"/>
      <c r="BK245" s="67"/>
      <c r="BL245" s="67"/>
      <c r="BM245" s="67"/>
      <c r="BN245" s="67"/>
      <c r="BO245" s="67"/>
      <c r="BP245" s="67"/>
      <c r="BQ245" s="67"/>
      <c r="BR245" s="67"/>
      <c r="BS245" s="67"/>
      <c r="BT245" s="67"/>
      <c r="BU245" s="67"/>
      <c r="BV245" s="67"/>
      <c r="BW245" s="67"/>
      <c r="BX245" s="67"/>
      <c r="BY245" s="67"/>
      <c r="BZ245" s="67"/>
      <c r="CA245" s="67"/>
      <c r="CB245" s="67"/>
      <c r="CC245" s="67"/>
      <c r="CD245" s="67"/>
      <c r="CE245" s="67"/>
      <c r="CF245" s="67"/>
      <c r="CG245" s="67"/>
      <c r="CH245" s="67"/>
      <c r="CI245" s="67"/>
      <c r="CJ245" s="67"/>
      <c r="CK245" s="67"/>
      <c r="CL245" s="67"/>
      <c r="CM245" s="67"/>
      <c r="CN245" s="67"/>
      <c r="CO245" s="67"/>
      <c r="CP245" s="67"/>
      <c r="CQ245" s="67"/>
      <c r="CR245" s="67"/>
      <c r="CS245" s="67"/>
      <c r="CT245" s="67"/>
      <c r="CU245" s="67"/>
      <c r="CV245" s="67"/>
      <c r="CW245" s="67"/>
      <c r="CX245" s="67"/>
      <c r="CY245" s="67"/>
      <c r="CZ245" s="67"/>
      <c r="DA245" s="67"/>
      <c r="DB245" s="67"/>
      <c r="DC245" s="67"/>
      <c r="DD245" s="67"/>
      <c r="DE245" s="67"/>
      <c r="DF245" s="67"/>
      <c r="DG245" s="67"/>
      <c r="DH245" s="67"/>
      <c r="DI245" s="67"/>
      <c r="DJ245" s="67"/>
      <c r="DK245" s="67"/>
      <c r="DL245" s="67"/>
      <c r="DM245" s="67"/>
      <c r="DN245" s="67"/>
      <c r="DO245" s="67"/>
      <c r="DP245" s="67"/>
      <c r="DQ245" s="67"/>
      <c r="DR245" s="67"/>
      <c r="DS245" s="67"/>
      <c r="DT245" s="67"/>
      <c r="DU245" s="67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  <c r="ER245" s="6"/>
      <c r="ES245" s="6"/>
      <c r="ET245" s="6"/>
      <c r="EU245" s="6"/>
      <c r="EV245" s="6"/>
      <c r="EW245" s="6"/>
      <c r="EX245" s="6"/>
      <c r="EY245" s="6"/>
      <c r="EZ245" s="6"/>
      <c r="FA245" s="6"/>
      <c r="FB245" s="6"/>
      <c r="FC245" s="6"/>
      <c r="FD245" s="6"/>
      <c r="FE245" s="6"/>
      <c r="FF245" s="6"/>
      <c r="FG245" s="6"/>
      <c r="FH245" s="6"/>
      <c r="FI245" s="6"/>
      <c r="FJ245" s="6"/>
      <c r="FK245" s="6"/>
      <c r="FL245" s="6"/>
      <c r="FM245" s="6"/>
      <c r="FN245" s="6"/>
      <c r="FO245" s="6"/>
      <c r="FP245" s="6"/>
      <c r="FQ245" s="6"/>
      <c r="FR245" s="6"/>
      <c r="FS245" s="6"/>
      <c r="FT245" s="6"/>
      <c r="FU245" s="6"/>
      <c r="FV245" s="6"/>
      <c r="FW245" s="6"/>
      <c r="FX245" s="6"/>
      <c r="FY245" s="6"/>
      <c r="FZ245" s="6"/>
      <c r="GA245" s="6"/>
      <c r="GB245" s="6"/>
      <c r="GC245" s="6"/>
      <c r="GD245" s="6"/>
      <c r="GE245" s="6"/>
      <c r="GF245" s="6"/>
      <c r="GG245" s="6"/>
      <c r="GH245" s="6"/>
      <c r="GI245" s="6"/>
      <c r="GJ245" s="6"/>
      <c r="GK245" s="6"/>
      <c r="GL245" s="6"/>
    </row>
    <row r="246" spans="1:194" x14ac:dyDescent="0.25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7"/>
      <c r="AG246" s="67"/>
      <c r="AH246" s="67"/>
      <c r="AI246" s="67"/>
      <c r="AJ246" s="67"/>
      <c r="AK246" s="67"/>
      <c r="AL246" s="67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  <c r="BB246" s="67"/>
      <c r="BC246" s="67"/>
      <c r="BD246" s="67"/>
      <c r="BE246" s="67"/>
      <c r="BF246" s="67"/>
      <c r="BG246" s="67"/>
      <c r="BH246" s="67"/>
      <c r="BI246" s="67"/>
      <c r="BJ246" s="67"/>
      <c r="BK246" s="67"/>
      <c r="BL246" s="67"/>
      <c r="BM246" s="67"/>
      <c r="BN246" s="67"/>
      <c r="BO246" s="67"/>
      <c r="BP246" s="67"/>
      <c r="BQ246" s="67"/>
      <c r="BR246" s="67"/>
      <c r="BS246" s="67"/>
      <c r="BT246" s="67"/>
      <c r="BU246" s="67"/>
      <c r="BV246" s="67"/>
      <c r="BW246" s="67"/>
      <c r="BX246" s="67"/>
      <c r="BY246" s="67"/>
      <c r="BZ246" s="67"/>
      <c r="CA246" s="67"/>
      <c r="CB246" s="67"/>
      <c r="CC246" s="67"/>
      <c r="CD246" s="67"/>
      <c r="CE246" s="67"/>
      <c r="CF246" s="67"/>
      <c r="CG246" s="67"/>
      <c r="CH246" s="67"/>
      <c r="CI246" s="67"/>
      <c r="CJ246" s="67"/>
      <c r="CK246" s="67"/>
      <c r="CL246" s="67"/>
      <c r="CM246" s="67"/>
      <c r="CN246" s="67"/>
      <c r="CO246" s="67"/>
      <c r="CP246" s="67"/>
      <c r="CQ246" s="67"/>
      <c r="CR246" s="67"/>
      <c r="CS246" s="67"/>
      <c r="CT246" s="67"/>
      <c r="CU246" s="67"/>
      <c r="CV246" s="67"/>
      <c r="CW246" s="67"/>
      <c r="CX246" s="67"/>
      <c r="CY246" s="67"/>
      <c r="CZ246" s="67"/>
      <c r="DA246" s="67"/>
      <c r="DB246" s="67"/>
      <c r="DC246" s="67"/>
      <c r="DD246" s="67"/>
      <c r="DE246" s="67"/>
      <c r="DF246" s="67"/>
      <c r="DG246" s="67"/>
      <c r="DH246" s="67"/>
      <c r="DI246" s="67"/>
      <c r="DJ246" s="67"/>
      <c r="DK246" s="67"/>
      <c r="DL246" s="67"/>
      <c r="DM246" s="67"/>
      <c r="DN246" s="67"/>
      <c r="DO246" s="67"/>
      <c r="DP246" s="67"/>
      <c r="DQ246" s="67"/>
      <c r="DR246" s="67"/>
      <c r="DS246" s="67"/>
      <c r="DT246" s="67"/>
      <c r="DU246" s="67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  <c r="ER246" s="6"/>
      <c r="ES246" s="6"/>
      <c r="ET246" s="6"/>
      <c r="EU246" s="6"/>
      <c r="EV246" s="6"/>
      <c r="EW246" s="6"/>
      <c r="EX246" s="6"/>
      <c r="EY246" s="6"/>
      <c r="EZ246" s="6"/>
      <c r="FA246" s="6"/>
      <c r="FB246" s="6"/>
      <c r="FC246" s="6"/>
      <c r="FD246" s="6"/>
      <c r="FE246" s="6"/>
      <c r="FF246" s="6"/>
      <c r="FG246" s="6"/>
      <c r="FH246" s="6"/>
      <c r="FI246" s="6"/>
      <c r="FJ246" s="6"/>
      <c r="FK246" s="6"/>
      <c r="FL246" s="6"/>
      <c r="FM246" s="6"/>
      <c r="FN246" s="6"/>
      <c r="FO246" s="6"/>
      <c r="FP246" s="6"/>
      <c r="FQ246" s="6"/>
      <c r="FR246" s="6"/>
      <c r="FS246" s="6"/>
      <c r="FT246" s="6"/>
      <c r="FU246" s="6"/>
      <c r="FV246" s="6"/>
      <c r="FW246" s="6"/>
      <c r="FX246" s="6"/>
      <c r="FY246" s="6"/>
      <c r="FZ246" s="6"/>
      <c r="GA246" s="6"/>
      <c r="GB246" s="6"/>
      <c r="GC246" s="6"/>
      <c r="GD246" s="6"/>
      <c r="GE246" s="6"/>
      <c r="GF246" s="6"/>
      <c r="GG246" s="6"/>
      <c r="GH246" s="6"/>
      <c r="GI246" s="6"/>
      <c r="GJ246" s="6"/>
      <c r="GK246" s="6"/>
      <c r="GL246" s="6"/>
    </row>
    <row r="247" spans="1:194" x14ac:dyDescent="0.25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  <c r="AF247" s="67"/>
      <c r="AG247" s="67"/>
      <c r="AH247" s="67"/>
      <c r="AI247" s="67"/>
      <c r="AJ247" s="67"/>
      <c r="AK247" s="67"/>
      <c r="AL247" s="67"/>
      <c r="AM247" s="67"/>
      <c r="AN247" s="67"/>
      <c r="AO247" s="67"/>
      <c r="AP247" s="67"/>
      <c r="AQ247" s="67"/>
      <c r="AR247" s="67"/>
      <c r="AS247" s="67"/>
      <c r="AT247" s="67"/>
      <c r="AU247" s="67"/>
      <c r="AV247" s="67"/>
      <c r="AW247" s="67"/>
      <c r="AX247" s="67"/>
      <c r="AY247" s="67"/>
      <c r="AZ247" s="67"/>
      <c r="BA247" s="67"/>
      <c r="BB247" s="67"/>
      <c r="BC247" s="67"/>
      <c r="BD247" s="67"/>
      <c r="BE247" s="67"/>
      <c r="BF247" s="67"/>
      <c r="BG247" s="67"/>
      <c r="BH247" s="67"/>
      <c r="BI247" s="67"/>
      <c r="BJ247" s="67"/>
      <c r="BK247" s="67"/>
      <c r="BL247" s="67"/>
      <c r="BM247" s="67"/>
      <c r="BN247" s="67"/>
      <c r="BO247" s="67"/>
      <c r="BP247" s="67"/>
      <c r="BQ247" s="67"/>
      <c r="BR247" s="67"/>
      <c r="BS247" s="67"/>
      <c r="BT247" s="67"/>
      <c r="BU247" s="67"/>
      <c r="BV247" s="67"/>
      <c r="BW247" s="67"/>
      <c r="BX247" s="67"/>
      <c r="BY247" s="67"/>
      <c r="BZ247" s="67"/>
      <c r="CA247" s="67"/>
      <c r="CB247" s="67"/>
      <c r="CC247" s="67"/>
      <c r="CD247" s="67"/>
      <c r="CE247" s="67"/>
      <c r="CF247" s="67"/>
      <c r="CG247" s="67"/>
      <c r="CH247" s="67"/>
      <c r="CI247" s="67"/>
      <c r="CJ247" s="67"/>
      <c r="CK247" s="67"/>
      <c r="CL247" s="67"/>
      <c r="CM247" s="67"/>
      <c r="CN247" s="67"/>
      <c r="CO247" s="67"/>
      <c r="CP247" s="67"/>
      <c r="CQ247" s="67"/>
      <c r="CR247" s="67"/>
      <c r="CS247" s="67"/>
      <c r="CT247" s="67"/>
      <c r="CU247" s="67"/>
      <c r="CV247" s="67"/>
      <c r="CW247" s="67"/>
      <c r="CX247" s="67"/>
      <c r="CY247" s="67"/>
      <c r="CZ247" s="67"/>
      <c r="DA247" s="67"/>
      <c r="DB247" s="67"/>
      <c r="DC247" s="67"/>
      <c r="DD247" s="67"/>
      <c r="DE247" s="67"/>
      <c r="DF247" s="67"/>
      <c r="DG247" s="67"/>
      <c r="DH247" s="67"/>
      <c r="DI247" s="67"/>
      <c r="DJ247" s="67"/>
      <c r="DK247" s="67"/>
      <c r="DL247" s="67"/>
      <c r="DM247" s="67"/>
      <c r="DN247" s="67"/>
      <c r="DO247" s="67"/>
      <c r="DP247" s="67"/>
      <c r="DQ247" s="67"/>
      <c r="DR247" s="67"/>
      <c r="DS247" s="67"/>
      <c r="DT247" s="67"/>
      <c r="DU247" s="67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  <c r="ER247" s="6"/>
      <c r="ES247" s="6"/>
      <c r="ET247" s="6"/>
      <c r="EU247" s="6"/>
      <c r="EV247" s="6"/>
      <c r="EW247" s="6"/>
      <c r="EX247" s="6"/>
      <c r="EY247" s="6"/>
      <c r="EZ247" s="6"/>
      <c r="FA247" s="6"/>
      <c r="FB247" s="6"/>
      <c r="FC247" s="6"/>
      <c r="FD247" s="6"/>
      <c r="FE247" s="6"/>
      <c r="FF247" s="6"/>
      <c r="FG247" s="6"/>
      <c r="FH247" s="6"/>
      <c r="FI247" s="6"/>
      <c r="FJ247" s="6"/>
      <c r="FK247" s="6"/>
      <c r="FL247" s="6"/>
      <c r="FM247" s="6"/>
      <c r="FN247" s="6"/>
      <c r="FO247" s="6"/>
      <c r="FP247" s="6"/>
      <c r="FQ247" s="6"/>
      <c r="FR247" s="6"/>
      <c r="FS247" s="6"/>
      <c r="FT247" s="6"/>
      <c r="FU247" s="6"/>
      <c r="FV247" s="6"/>
      <c r="FW247" s="6"/>
      <c r="FX247" s="6"/>
      <c r="FY247" s="6"/>
      <c r="FZ247" s="6"/>
      <c r="GA247" s="6"/>
      <c r="GB247" s="6"/>
      <c r="GC247" s="6"/>
      <c r="GD247" s="6"/>
      <c r="GE247" s="6"/>
      <c r="GF247" s="6"/>
      <c r="GG247" s="6"/>
      <c r="GH247" s="6"/>
      <c r="GI247" s="6"/>
      <c r="GJ247" s="6"/>
      <c r="GK247" s="6"/>
      <c r="GL247" s="6"/>
    </row>
    <row r="248" spans="1:194" x14ac:dyDescent="0.25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  <c r="AA248" s="67"/>
      <c r="AB248" s="67"/>
      <c r="AC248" s="67"/>
      <c r="AD248" s="67"/>
      <c r="AE248" s="67"/>
      <c r="AF248" s="67"/>
      <c r="AG248" s="67"/>
      <c r="AH248" s="67"/>
      <c r="AI248" s="67"/>
      <c r="AJ248" s="67"/>
      <c r="AK248" s="67"/>
      <c r="AL248" s="67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  <c r="AX248" s="67"/>
      <c r="AY248" s="67"/>
      <c r="AZ248" s="67"/>
      <c r="BA248" s="67"/>
      <c r="BB248" s="67"/>
      <c r="BC248" s="67"/>
      <c r="BD248" s="67"/>
      <c r="BE248" s="67"/>
      <c r="BF248" s="67"/>
      <c r="BG248" s="67"/>
      <c r="BH248" s="67"/>
      <c r="BI248" s="67"/>
      <c r="BJ248" s="67"/>
      <c r="BK248" s="67"/>
      <c r="BL248" s="67"/>
      <c r="BM248" s="67"/>
      <c r="BN248" s="67"/>
      <c r="BO248" s="67"/>
      <c r="BP248" s="67"/>
      <c r="BQ248" s="67"/>
      <c r="BR248" s="67"/>
      <c r="BS248" s="67"/>
      <c r="BT248" s="67"/>
      <c r="BU248" s="67"/>
      <c r="BV248" s="67"/>
      <c r="BW248" s="67"/>
      <c r="BX248" s="67"/>
      <c r="BY248" s="67"/>
      <c r="BZ248" s="67"/>
      <c r="CA248" s="67"/>
      <c r="CB248" s="67"/>
      <c r="CC248" s="67"/>
      <c r="CD248" s="67"/>
      <c r="CE248" s="67"/>
      <c r="CF248" s="67"/>
      <c r="CG248" s="67"/>
      <c r="CH248" s="67"/>
      <c r="CI248" s="67"/>
      <c r="CJ248" s="67"/>
      <c r="CK248" s="67"/>
      <c r="CL248" s="67"/>
      <c r="CM248" s="67"/>
      <c r="CN248" s="67"/>
      <c r="CO248" s="67"/>
      <c r="CP248" s="67"/>
      <c r="CQ248" s="67"/>
      <c r="CR248" s="67"/>
      <c r="CS248" s="67"/>
      <c r="CT248" s="67"/>
      <c r="CU248" s="67"/>
      <c r="CV248" s="67"/>
      <c r="CW248" s="67"/>
      <c r="CX248" s="67"/>
      <c r="CY248" s="67"/>
      <c r="CZ248" s="67"/>
      <c r="DA248" s="67"/>
      <c r="DB248" s="67"/>
      <c r="DC248" s="67"/>
      <c r="DD248" s="67"/>
      <c r="DE248" s="67"/>
      <c r="DF248" s="67"/>
      <c r="DG248" s="67"/>
      <c r="DH248" s="67"/>
      <c r="DI248" s="67"/>
      <c r="DJ248" s="67"/>
      <c r="DK248" s="67"/>
      <c r="DL248" s="67"/>
      <c r="DM248" s="67"/>
      <c r="DN248" s="67"/>
      <c r="DO248" s="67"/>
      <c r="DP248" s="67"/>
      <c r="DQ248" s="67"/>
      <c r="DR248" s="67"/>
      <c r="DS248" s="67"/>
      <c r="DT248" s="67"/>
      <c r="DU248" s="67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  <c r="ER248" s="6"/>
      <c r="ES248" s="6"/>
      <c r="ET248" s="6"/>
      <c r="EU248" s="6"/>
      <c r="EV248" s="6"/>
      <c r="EW248" s="6"/>
      <c r="EX248" s="6"/>
      <c r="EY248" s="6"/>
      <c r="EZ248" s="6"/>
      <c r="FA248" s="6"/>
      <c r="FB248" s="6"/>
      <c r="FC248" s="6"/>
      <c r="FD248" s="6"/>
      <c r="FE248" s="6"/>
      <c r="FF248" s="6"/>
      <c r="FG248" s="6"/>
      <c r="FH248" s="6"/>
      <c r="FI248" s="6"/>
      <c r="FJ248" s="6"/>
      <c r="FK248" s="6"/>
      <c r="FL248" s="6"/>
      <c r="FM248" s="6"/>
      <c r="FN248" s="6"/>
      <c r="FO248" s="6"/>
      <c r="FP248" s="6"/>
      <c r="FQ248" s="6"/>
      <c r="FR248" s="6"/>
      <c r="FS248" s="6"/>
      <c r="FT248" s="6"/>
      <c r="FU248" s="6"/>
      <c r="FV248" s="6"/>
      <c r="FW248" s="6"/>
      <c r="FX248" s="6"/>
      <c r="FY248" s="6"/>
      <c r="FZ248" s="6"/>
      <c r="GA248" s="6"/>
      <c r="GB248" s="6"/>
      <c r="GC248" s="6"/>
      <c r="GD248" s="6"/>
      <c r="GE248" s="6"/>
      <c r="GF248" s="6"/>
      <c r="GG248" s="6"/>
      <c r="GH248" s="6"/>
      <c r="GI248" s="6"/>
      <c r="GJ248" s="6"/>
      <c r="GK248" s="6"/>
      <c r="GL248" s="6"/>
    </row>
    <row r="249" spans="1:194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  <c r="AA249" s="67"/>
      <c r="AB249" s="67"/>
      <c r="AC249" s="67"/>
      <c r="AD249" s="67"/>
      <c r="AE249" s="67"/>
      <c r="AF249" s="67"/>
      <c r="AG249" s="67"/>
      <c r="AH249" s="67"/>
      <c r="AI249" s="67"/>
      <c r="AJ249" s="67"/>
      <c r="AK249" s="67"/>
      <c r="AL249" s="67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  <c r="AX249" s="67"/>
      <c r="AY249" s="67"/>
      <c r="AZ249" s="67"/>
      <c r="BA249" s="67"/>
      <c r="BB249" s="67"/>
      <c r="BC249" s="67"/>
      <c r="BD249" s="67"/>
      <c r="BE249" s="67"/>
      <c r="BF249" s="67"/>
      <c r="BG249" s="67"/>
      <c r="BH249" s="67"/>
      <c r="BI249" s="67"/>
      <c r="BJ249" s="67"/>
      <c r="BK249" s="67"/>
      <c r="BL249" s="67"/>
      <c r="BM249" s="67"/>
      <c r="BN249" s="67"/>
      <c r="BO249" s="67"/>
      <c r="BP249" s="67"/>
      <c r="BQ249" s="67"/>
      <c r="BR249" s="67"/>
      <c r="BS249" s="67"/>
      <c r="BT249" s="67"/>
      <c r="BU249" s="67"/>
      <c r="BV249" s="67"/>
      <c r="BW249" s="67"/>
      <c r="BX249" s="67"/>
      <c r="BY249" s="67"/>
      <c r="BZ249" s="67"/>
      <c r="CA249" s="67"/>
      <c r="CB249" s="67"/>
      <c r="CC249" s="67"/>
      <c r="CD249" s="67"/>
      <c r="CE249" s="67"/>
      <c r="CF249" s="67"/>
      <c r="CG249" s="67"/>
      <c r="CH249" s="67"/>
      <c r="CI249" s="67"/>
      <c r="CJ249" s="67"/>
      <c r="CK249" s="67"/>
      <c r="CL249" s="67"/>
      <c r="CM249" s="67"/>
      <c r="CN249" s="67"/>
      <c r="CO249" s="67"/>
      <c r="CP249" s="67"/>
      <c r="CQ249" s="67"/>
      <c r="CR249" s="67"/>
      <c r="CS249" s="67"/>
      <c r="CT249" s="67"/>
      <c r="CU249" s="67"/>
      <c r="CV249" s="67"/>
      <c r="CW249" s="67"/>
      <c r="CX249" s="67"/>
      <c r="CY249" s="67"/>
      <c r="CZ249" s="67"/>
      <c r="DA249" s="67"/>
      <c r="DB249" s="67"/>
      <c r="DC249" s="67"/>
      <c r="DD249" s="67"/>
      <c r="DE249" s="67"/>
      <c r="DF249" s="67"/>
      <c r="DG249" s="67"/>
      <c r="DH249" s="67"/>
      <c r="DI249" s="67"/>
      <c r="DJ249" s="67"/>
      <c r="DK249" s="67"/>
      <c r="DL249" s="67"/>
      <c r="DM249" s="67"/>
      <c r="DN249" s="67"/>
      <c r="DO249" s="67"/>
      <c r="DP249" s="67"/>
      <c r="DQ249" s="67"/>
      <c r="DR249" s="67"/>
      <c r="DS249" s="67"/>
      <c r="DT249" s="67"/>
      <c r="DU249" s="67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  <c r="ER249" s="6"/>
      <c r="ES249" s="6"/>
      <c r="ET249" s="6"/>
      <c r="EU249" s="6"/>
      <c r="EV249" s="6"/>
      <c r="EW249" s="6"/>
      <c r="EX249" s="6"/>
      <c r="EY249" s="6"/>
      <c r="EZ249" s="6"/>
      <c r="FA249" s="6"/>
      <c r="FB249" s="6"/>
      <c r="FC249" s="6"/>
      <c r="FD249" s="6"/>
      <c r="FE249" s="6"/>
      <c r="FF249" s="6"/>
      <c r="FG249" s="6"/>
      <c r="FH249" s="6"/>
      <c r="FI249" s="6"/>
      <c r="FJ249" s="6"/>
      <c r="FK249" s="6"/>
      <c r="FL249" s="6"/>
      <c r="FM249" s="6"/>
      <c r="FN249" s="6"/>
      <c r="FO249" s="6"/>
      <c r="FP249" s="6"/>
      <c r="FQ249" s="6"/>
      <c r="FR249" s="6"/>
      <c r="FS249" s="6"/>
      <c r="FT249" s="6"/>
      <c r="FU249" s="6"/>
      <c r="FV249" s="6"/>
      <c r="FW249" s="6"/>
      <c r="FX249" s="6"/>
      <c r="FY249" s="6"/>
      <c r="FZ249" s="6"/>
      <c r="GA249" s="6"/>
      <c r="GB249" s="6"/>
      <c r="GC249" s="6"/>
      <c r="GD249" s="6"/>
      <c r="GE249" s="6"/>
      <c r="GF249" s="6"/>
      <c r="GG249" s="6"/>
      <c r="GH249" s="6"/>
      <c r="GI249" s="6"/>
      <c r="GJ249" s="6"/>
      <c r="GK249" s="6"/>
      <c r="GL249" s="6"/>
    </row>
    <row r="250" spans="1:194" x14ac:dyDescent="0.25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  <c r="AA250" s="67"/>
      <c r="AB250" s="67"/>
      <c r="AC250" s="67"/>
      <c r="AD250" s="67"/>
      <c r="AE250" s="67"/>
      <c r="AF250" s="67"/>
      <c r="AG250" s="67"/>
      <c r="AH250" s="67"/>
      <c r="AI250" s="67"/>
      <c r="AJ250" s="67"/>
      <c r="AK250" s="67"/>
      <c r="AL250" s="67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  <c r="BB250" s="67"/>
      <c r="BC250" s="67"/>
      <c r="BD250" s="67"/>
      <c r="BE250" s="67"/>
      <c r="BF250" s="67"/>
      <c r="BG250" s="67"/>
      <c r="BH250" s="67"/>
      <c r="BI250" s="67"/>
      <c r="BJ250" s="67"/>
      <c r="BK250" s="67"/>
      <c r="BL250" s="67"/>
      <c r="BM250" s="67"/>
      <c r="BN250" s="67"/>
      <c r="BO250" s="67"/>
      <c r="BP250" s="67"/>
      <c r="BQ250" s="67"/>
      <c r="BR250" s="67"/>
      <c r="BS250" s="67"/>
      <c r="BT250" s="67"/>
      <c r="BU250" s="67"/>
      <c r="BV250" s="67"/>
      <c r="BW250" s="67"/>
      <c r="BX250" s="67"/>
      <c r="BY250" s="67"/>
      <c r="BZ250" s="67"/>
      <c r="CA250" s="67"/>
      <c r="CB250" s="67"/>
      <c r="CC250" s="67"/>
      <c r="CD250" s="67"/>
      <c r="CE250" s="67"/>
      <c r="CF250" s="67"/>
      <c r="CG250" s="67"/>
      <c r="CH250" s="67"/>
      <c r="CI250" s="67"/>
      <c r="CJ250" s="67"/>
      <c r="CK250" s="67"/>
      <c r="CL250" s="67"/>
      <c r="CM250" s="67"/>
      <c r="CN250" s="67"/>
      <c r="CO250" s="67"/>
      <c r="CP250" s="67"/>
      <c r="CQ250" s="67"/>
      <c r="CR250" s="67"/>
      <c r="CS250" s="67"/>
      <c r="CT250" s="67"/>
      <c r="CU250" s="67"/>
      <c r="CV250" s="67"/>
      <c r="CW250" s="67"/>
      <c r="CX250" s="67"/>
      <c r="CY250" s="67"/>
      <c r="CZ250" s="67"/>
      <c r="DA250" s="67"/>
      <c r="DB250" s="67"/>
      <c r="DC250" s="67"/>
      <c r="DD250" s="67"/>
      <c r="DE250" s="67"/>
      <c r="DF250" s="67"/>
      <c r="DG250" s="67"/>
      <c r="DH250" s="67"/>
      <c r="DI250" s="67"/>
      <c r="DJ250" s="67"/>
      <c r="DK250" s="67"/>
      <c r="DL250" s="67"/>
      <c r="DM250" s="67"/>
      <c r="DN250" s="67"/>
      <c r="DO250" s="67"/>
      <c r="DP250" s="67"/>
      <c r="DQ250" s="67"/>
      <c r="DR250" s="67"/>
      <c r="DS250" s="67"/>
      <c r="DT250" s="67"/>
      <c r="DU250" s="67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  <c r="ER250" s="6"/>
      <c r="ES250" s="6"/>
      <c r="ET250" s="6"/>
      <c r="EU250" s="6"/>
      <c r="EV250" s="6"/>
      <c r="EW250" s="6"/>
      <c r="EX250" s="6"/>
      <c r="EY250" s="6"/>
      <c r="EZ250" s="6"/>
      <c r="FA250" s="6"/>
      <c r="FB250" s="6"/>
      <c r="FC250" s="6"/>
      <c r="FD250" s="6"/>
      <c r="FE250" s="6"/>
      <c r="FF250" s="6"/>
      <c r="FG250" s="6"/>
      <c r="FH250" s="6"/>
      <c r="FI250" s="6"/>
      <c r="FJ250" s="6"/>
      <c r="FK250" s="6"/>
      <c r="FL250" s="6"/>
      <c r="FM250" s="6"/>
      <c r="FN250" s="6"/>
      <c r="FO250" s="6"/>
      <c r="FP250" s="6"/>
      <c r="FQ250" s="6"/>
      <c r="FR250" s="6"/>
      <c r="FS250" s="6"/>
      <c r="FT250" s="6"/>
      <c r="FU250" s="6"/>
      <c r="FV250" s="6"/>
      <c r="FW250" s="6"/>
      <c r="FX250" s="6"/>
      <c r="FY250" s="6"/>
      <c r="FZ250" s="6"/>
      <c r="GA250" s="6"/>
      <c r="GB250" s="6"/>
      <c r="GC250" s="6"/>
      <c r="GD250" s="6"/>
      <c r="GE250" s="6"/>
      <c r="GF250" s="6"/>
      <c r="GG250" s="6"/>
      <c r="GH250" s="6"/>
      <c r="GI250" s="6"/>
      <c r="GJ250" s="6"/>
      <c r="GK250" s="6"/>
      <c r="GL250" s="6"/>
    </row>
    <row r="251" spans="1:194" x14ac:dyDescent="0.25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  <c r="AA251" s="67"/>
      <c r="AB251" s="67"/>
      <c r="AC251" s="67"/>
      <c r="AD251" s="67"/>
      <c r="AE251" s="67"/>
      <c r="AF251" s="67"/>
      <c r="AG251" s="67"/>
      <c r="AH251" s="67"/>
      <c r="AI251" s="67"/>
      <c r="AJ251" s="67"/>
      <c r="AK251" s="67"/>
      <c r="AL251" s="67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  <c r="BB251" s="67"/>
      <c r="BC251" s="67"/>
      <c r="BD251" s="67"/>
      <c r="BE251" s="67"/>
      <c r="BF251" s="67"/>
      <c r="BG251" s="67"/>
      <c r="BH251" s="67"/>
      <c r="BI251" s="67"/>
      <c r="BJ251" s="67"/>
      <c r="BK251" s="67"/>
      <c r="BL251" s="67"/>
      <c r="BM251" s="67"/>
      <c r="BN251" s="67"/>
      <c r="BO251" s="67"/>
      <c r="BP251" s="67"/>
      <c r="BQ251" s="67"/>
      <c r="BR251" s="67"/>
      <c r="BS251" s="67"/>
      <c r="BT251" s="67"/>
      <c r="BU251" s="67"/>
      <c r="BV251" s="67"/>
      <c r="BW251" s="67"/>
      <c r="BX251" s="67"/>
      <c r="BY251" s="67"/>
      <c r="BZ251" s="67"/>
      <c r="CA251" s="67"/>
      <c r="CB251" s="67"/>
      <c r="CC251" s="67"/>
      <c r="CD251" s="67"/>
      <c r="CE251" s="67"/>
      <c r="CF251" s="67"/>
      <c r="CG251" s="67"/>
      <c r="CH251" s="67"/>
      <c r="CI251" s="67"/>
      <c r="CJ251" s="67"/>
      <c r="CK251" s="67"/>
      <c r="CL251" s="67"/>
      <c r="CM251" s="67"/>
      <c r="CN251" s="67"/>
      <c r="CO251" s="67"/>
      <c r="CP251" s="67"/>
      <c r="CQ251" s="67"/>
      <c r="CR251" s="67"/>
      <c r="CS251" s="67"/>
      <c r="CT251" s="67"/>
      <c r="CU251" s="67"/>
      <c r="CV251" s="67"/>
      <c r="CW251" s="67"/>
      <c r="CX251" s="67"/>
      <c r="CY251" s="67"/>
      <c r="CZ251" s="67"/>
      <c r="DA251" s="67"/>
      <c r="DB251" s="67"/>
      <c r="DC251" s="67"/>
      <c r="DD251" s="67"/>
      <c r="DE251" s="67"/>
      <c r="DF251" s="67"/>
      <c r="DG251" s="67"/>
      <c r="DH251" s="67"/>
      <c r="DI251" s="67"/>
      <c r="DJ251" s="67"/>
      <c r="DK251" s="67"/>
      <c r="DL251" s="67"/>
      <c r="DM251" s="67"/>
      <c r="DN251" s="67"/>
      <c r="DO251" s="67"/>
      <c r="DP251" s="67"/>
      <c r="DQ251" s="67"/>
      <c r="DR251" s="67"/>
      <c r="DS251" s="67"/>
      <c r="DT251" s="67"/>
      <c r="DU251" s="67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  <c r="ER251" s="6"/>
      <c r="ES251" s="6"/>
      <c r="ET251" s="6"/>
      <c r="EU251" s="6"/>
      <c r="EV251" s="6"/>
      <c r="EW251" s="6"/>
      <c r="EX251" s="6"/>
      <c r="EY251" s="6"/>
      <c r="EZ251" s="6"/>
      <c r="FA251" s="6"/>
      <c r="FB251" s="6"/>
      <c r="FC251" s="6"/>
      <c r="FD251" s="6"/>
      <c r="FE251" s="6"/>
      <c r="FF251" s="6"/>
      <c r="FG251" s="6"/>
      <c r="FH251" s="6"/>
      <c r="FI251" s="6"/>
      <c r="FJ251" s="6"/>
      <c r="FK251" s="6"/>
      <c r="FL251" s="6"/>
      <c r="FM251" s="6"/>
      <c r="FN251" s="6"/>
      <c r="FO251" s="6"/>
      <c r="FP251" s="6"/>
      <c r="FQ251" s="6"/>
      <c r="FR251" s="6"/>
      <c r="FS251" s="6"/>
      <c r="FT251" s="6"/>
      <c r="FU251" s="6"/>
      <c r="FV251" s="6"/>
      <c r="FW251" s="6"/>
      <c r="FX251" s="6"/>
      <c r="FY251" s="6"/>
      <c r="FZ251" s="6"/>
      <c r="GA251" s="6"/>
      <c r="GB251" s="6"/>
      <c r="GC251" s="6"/>
      <c r="GD251" s="6"/>
      <c r="GE251" s="6"/>
      <c r="GF251" s="6"/>
      <c r="GG251" s="6"/>
      <c r="GH251" s="6"/>
      <c r="GI251" s="6"/>
      <c r="GJ251" s="6"/>
      <c r="GK251" s="6"/>
      <c r="GL251" s="6"/>
    </row>
    <row r="252" spans="1:194" x14ac:dyDescent="0.25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  <c r="AA252" s="67"/>
      <c r="AB252" s="67"/>
      <c r="AC252" s="67"/>
      <c r="AD252" s="67"/>
      <c r="AE252" s="67"/>
      <c r="AF252" s="67"/>
      <c r="AG252" s="67"/>
      <c r="AH252" s="67"/>
      <c r="AI252" s="67"/>
      <c r="AJ252" s="67"/>
      <c r="AK252" s="67"/>
      <c r="AL252" s="67"/>
      <c r="AM252" s="67"/>
      <c r="AN252" s="67"/>
      <c r="AO252" s="67"/>
      <c r="AP252" s="67"/>
      <c r="AQ252" s="67"/>
      <c r="AR252" s="67"/>
      <c r="AS252" s="67"/>
      <c r="AT252" s="67"/>
      <c r="AU252" s="67"/>
      <c r="AV252" s="67"/>
      <c r="AW252" s="67"/>
      <c r="AX252" s="67"/>
      <c r="AY252" s="67"/>
      <c r="AZ252" s="67"/>
      <c r="BA252" s="67"/>
      <c r="BB252" s="67"/>
      <c r="BC252" s="67"/>
      <c r="BD252" s="67"/>
      <c r="BE252" s="67"/>
      <c r="BF252" s="67"/>
      <c r="BG252" s="67"/>
      <c r="BH252" s="67"/>
      <c r="BI252" s="67"/>
      <c r="BJ252" s="67"/>
      <c r="BK252" s="67"/>
      <c r="BL252" s="67"/>
      <c r="BM252" s="67"/>
      <c r="BN252" s="67"/>
      <c r="BO252" s="67"/>
      <c r="BP252" s="67"/>
      <c r="BQ252" s="67"/>
      <c r="BR252" s="67"/>
      <c r="BS252" s="67"/>
      <c r="BT252" s="67"/>
      <c r="BU252" s="67"/>
      <c r="BV252" s="67"/>
      <c r="BW252" s="67"/>
      <c r="BX252" s="67"/>
      <c r="BY252" s="67"/>
      <c r="BZ252" s="67"/>
      <c r="CA252" s="67"/>
      <c r="CB252" s="67"/>
      <c r="CC252" s="67"/>
      <c r="CD252" s="67"/>
      <c r="CE252" s="67"/>
      <c r="CF252" s="67"/>
      <c r="CG252" s="67"/>
      <c r="CH252" s="67"/>
      <c r="CI252" s="67"/>
      <c r="CJ252" s="67"/>
      <c r="CK252" s="67"/>
      <c r="CL252" s="67"/>
      <c r="CM252" s="67"/>
      <c r="CN252" s="67"/>
      <c r="CO252" s="67"/>
      <c r="CP252" s="67"/>
      <c r="CQ252" s="67"/>
      <c r="CR252" s="67"/>
      <c r="CS252" s="67"/>
      <c r="CT252" s="67"/>
      <c r="CU252" s="67"/>
      <c r="CV252" s="67"/>
      <c r="CW252" s="67"/>
      <c r="CX252" s="67"/>
      <c r="CY252" s="67"/>
      <c r="CZ252" s="67"/>
      <c r="DA252" s="67"/>
      <c r="DB252" s="67"/>
      <c r="DC252" s="67"/>
      <c r="DD252" s="67"/>
      <c r="DE252" s="67"/>
      <c r="DF252" s="67"/>
      <c r="DG252" s="67"/>
      <c r="DH252" s="67"/>
      <c r="DI252" s="67"/>
      <c r="DJ252" s="67"/>
      <c r="DK252" s="67"/>
      <c r="DL252" s="67"/>
      <c r="DM252" s="67"/>
      <c r="DN252" s="67"/>
      <c r="DO252" s="67"/>
      <c r="DP252" s="67"/>
      <c r="DQ252" s="67"/>
      <c r="DR252" s="67"/>
      <c r="DS252" s="67"/>
      <c r="DT252" s="67"/>
      <c r="DU252" s="67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  <c r="ER252" s="6"/>
      <c r="ES252" s="6"/>
      <c r="ET252" s="6"/>
      <c r="EU252" s="6"/>
      <c r="EV252" s="6"/>
      <c r="EW252" s="6"/>
      <c r="EX252" s="6"/>
      <c r="EY252" s="6"/>
      <c r="EZ252" s="6"/>
      <c r="FA252" s="6"/>
      <c r="FB252" s="6"/>
      <c r="FC252" s="6"/>
      <c r="FD252" s="6"/>
      <c r="FE252" s="6"/>
      <c r="FF252" s="6"/>
      <c r="FG252" s="6"/>
      <c r="FH252" s="6"/>
      <c r="FI252" s="6"/>
      <c r="FJ252" s="6"/>
      <c r="FK252" s="6"/>
      <c r="FL252" s="6"/>
      <c r="FM252" s="6"/>
      <c r="FN252" s="6"/>
      <c r="FO252" s="6"/>
      <c r="FP252" s="6"/>
      <c r="FQ252" s="6"/>
      <c r="FR252" s="6"/>
      <c r="FS252" s="6"/>
      <c r="FT252" s="6"/>
      <c r="FU252" s="6"/>
      <c r="FV252" s="6"/>
      <c r="FW252" s="6"/>
      <c r="FX252" s="6"/>
      <c r="FY252" s="6"/>
      <c r="FZ252" s="6"/>
      <c r="GA252" s="6"/>
      <c r="GB252" s="6"/>
      <c r="GC252" s="6"/>
      <c r="GD252" s="6"/>
      <c r="GE252" s="6"/>
      <c r="GF252" s="6"/>
      <c r="GG252" s="6"/>
      <c r="GH252" s="6"/>
      <c r="GI252" s="6"/>
      <c r="GJ252" s="6"/>
      <c r="GK252" s="6"/>
      <c r="GL252" s="6"/>
    </row>
    <row r="253" spans="1:194" x14ac:dyDescent="0.25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  <c r="AA253" s="67"/>
      <c r="AB253" s="67"/>
      <c r="AC253" s="67"/>
      <c r="AD253" s="67"/>
      <c r="AE253" s="67"/>
      <c r="AF253" s="67"/>
      <c r="AG253" s="67"/>
      <c r="AH253" s="67"/>
      <c r="AI253" s="67"/>
      <c r="AJ253" s="67"/>
      <c r="AK253" s="67"/>
      <c r="AL253" s="67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  <c r="AX253" s="67"/>
      <c r="AY253" s="67"/>
      <c r="AZ253" s="67"/>
      <c r="BA253" s="67"/>
      <c r="BB253" s="67"/>
      <c r="BC253" s="67"/>
      <c r="BD253" s="67"/>
      <c r="BE253" s="67"/>
      <c r="BF253" s="67"/>
      <c r="BG253" s="67"/>
      <c r="BH253" s="67"/>
      <c r="BI253" s="67"/>
      <c r="BJ253" s="67"/>
      <c r="BK253" s="67"/>
      <c r="BL253" s="67"/>
      <c r="BM253" s="67"/>
      <c r="BN253" s="67"/>
      <c r="BO253" s="67"/>
      <c r="BP253" s="67"/>
      <c r="BQ253" s="67"/>
      <c r="BR253" s="67"/>
      <c r="BS253" s="67"/>
      <c r="BT253" s="67"/>
      <c r="BU253" s="67"/>
      <c r="BV253" s="67"/>
      <c r="BW253" s="67"/>
      <c r="BX253" s="67"/>
      <c r="BY253" s="67"/>
      <c r="BZ253" s="67"/>
      <c r="CA253" s="67"/>
      <c r="CB253" s="67"/>
      <c r="CC253" s="67"/>
      <c r="CD253" s="67"/>
      <c r="CE253" s="67"/>
      <c r="CF253" s="67"/>
      <c r="CG253" s="67"/>
      <c r="CH253" s="67"/>
      <c r="CI253" s="67"/>
      <c r="CJ253" s="67"/>
      <c r="CK253" s="67"/>
      <c r="CL253" s="67"/>
      <c r="CM253" s="67"/>
      <c r="CN253" s="67"/>
      <c r="CO253" s="67"/>
      <c r="CP253" s="67"/>
      <c r="CQ253" s="67"/>
      <c r="CR253" s="67"/>
      <c r="CS253" s="67"/>
      <c r="CT253" s="67"/>
      <c r="CU253" s="67"/>
      <c r="CV253" s="67"/>
      <c r="CW253" s="67"/>
      <c r="CX253" s="67"/>
      <c r="CY253" s="67"/>
      <c r="CZ253" s="67"/>
      <c r="DA253" s="67"/>
      <c r="DB253" s="67"/>
      <c r="DC253" s="67"/>
      <c r="DD253" s="67"/>
      <c r="DE253" s="67"/>
      <c r="DF253" s="67"/>
      <c r="DG253" s="67"/>
      <c r="DH253" s="67"/>
      <c r="DI253" s="67"/>
      <c r="DJ253" s="67"/>
      <c r="DK253" s="67"/>
      <c r="DL253" s="67"/>
      <c r="DM253" s="67"/>
      <c r="DN253" s="67"/>
      <c r="DO253" s="67"/>
      <c r="DP253" s="67"/>
      <c r="DQ253" s="67"/>
      <c r="DR253" s="67"/>
      <c r="DS253" s="67"/>
      <c r="DT253" s="67"/>
      <c r="DU253" s="67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  <c r="ER253" s="6"/>
      <c r="ES253" s="6"/>
      <c r="ET253" s="6"/>
      <c r="EU253" s="6"/>
      <c r="EV253" s="6"/>
      <c r="EW253" s="6"/>
      <c r="EX253" s="6"/>
      <c r="EY253" s="6"/>
      <c r="EZ253" s="6"/>
      <c r="FA253" s="6"/>
      <c r="FB253" s="6"/>
      <c r="FC253" s="6"/>
      <c r="FD253" s="6"/>
      <c r="FE253" s="6"/>
      <c r="FF253" s="6"/>
      <c r="FG253" s="6"/>
      <c r="FH253" s="6"/>
      <c r="FI253" s="6"/>
      <c r="FJ253" s="6"/>
      <c r="FK253" s="6"/>
      <c r="FL253" s="6"/>
      <c r="FM253" s="6"/>
      <c r="FN253" s="6"/>
      <c r="FO253" s="6"/>
      <c r="FP253" s="6"/>
      <c r="FQ253" s="6"/>
      <c r="FR253" s="6"/>
      <c r="FS253" s="6"/>
      <c r="FT253" s="6"/>
      <c r="FU253" s="6"/>
      <c r="FV253" s="6"/>
      <c r="FW253" s="6"/>
      <c r="FX253" s="6"/>
      <c r="FY253" s="6"/>
      <c r="FZ253" s="6"/>
      <c r="GA253" s="6"/>
      <c r="GB253" s="6"/>
      <c r="GC253" s="6"/>
      <c r="GD253" s="6"/>
      <c r="GE253" s="6"/>
      <c r="GF253" s="6"/>
      <c r="GG253" s="6"/>
      <c r="GH253" s="6"/>
      <c r="GI253" s="6"/>
      <c r="GJ253" s="6"/>
      <c r="GK253" s="6"/>
      <c r="GL253" s="6"/>
    </row>
    <row r="254" spans="1:194" x14ac:dyDescent="0.25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  <c r="AA254" s="67"/>
      <c r="AB254" s="67"/>
      <c r="AC254" s="67"/>
      <c r="AD254" s="67"/>
      <c r="AE254" s="67"/>
      <c r="AF254" s="67"/>
      <c r="AG254" s="67"/>
      <c r="AH254" s="67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7"/>
      <c r="AT254" s="67"/>
      <c r="AU254" s="67"/>
      <c r="AV254" s="67"/>
      <c r="AW254" s="67"/>
      <c r="AX254" s="67"/>
      <c r="AY254" s="67"/>
      <c r="AZ254" s="67"/>
      <c r="BA254" s="67"/>
      <c r="BB254" s="67"/>
      <c r="BC254" s="67"/>
      <c r="BD254" s="67"/>
      <c r="BE254" s="67"/>
      <c r="BF254" s="67"/>
      <c r="BG254" s="67"/>
      <c r="BH254" s="67"/>
      <c r="BI254" s="67"/>
      <c r="BJ254" s="67"/>
      <c r="BK254" s="67"/>
      <c r="BL254" s="67"/>
      <c r="BM254" s="67"/>
      <c r="BN254" s="67"/>
      <c r="BO254" s="67"/>
      <c r="BP254" s="67"/>
      <c r="BQ254" s="67"/>
      <c r="BR254" s="67"/>
      <c r="BS254" s="67"/>
      <c r="BT254" s="67"/>
      <c r="BU254" s="67"/>
      <c r="BV254" s="67"/>
      <c r="BW254" s="67"/>
      <c r="BX254" s="67"/>
      <c r="BY254" s="67"/>
      <c r="BZ254" s="67"/>
      <c r="CA254" s="67"/>
      <c r="CB254" s="67"/>
      <c r="CC254" s="67"/>
      <c r="CD254" s="67"/>
      <c r="CE254" s="67"/>
      <c r="CF254" s="67"/>
      <c r="CG254" s="67"/>
      <c r="CH254" s="67"/>
      <c r="CI254" s="67"/>
      <c r="CJ254" s="67"/>
      <c r="CK254" s="67"/>
      <c r="CL254" s="67"/>
      <c r="CM254" s="67"/>
      <c r="CN254" s="67"/>
      <c r="CO254" s="67"/>
      <c r="CP254" s="67"/>
      <c r="CQ254" s="67"/>
      <c r="CR254" s="67"/>
      <c r="CS254" s="67"/>
      <c r="CT254" s="67"/>
      <c r="CU254" s="67"/>
      <c r="CV254" s="67"/>
      <c r="CW254" s="67"/>
      <c r="CX254" s="67"/>
      <c r="CY254" s="67"/>
      <c r="CZ254" s="67"/>
      <c r="DA254" s="67"/>
      <c r="DB254" s="67"/>
      <c r="DC254" s="67"/>
      <c r="DD254" s="67"/>
      <c r="DE254" s="67"/>
      <c r="DF254" s="67"/>
      <c r="DG254" s="67"/>
      <c r="DH254" s="67"/>
      <c r="DI254" s="67"/>
      <c r="DJ254" s="67"/>
      <c r="DK254" s="67"/>
      <c r="DL254" s="67"/>
      <c r="DM254" s="67"/>
      <c r="DN254" s="67"/>
      <c r="DO254" s="67"/>
      <c r="DP254" s="67"/>
      <c r="DQ254" s="67"/>
      <c r="DR254" s="67"/>
      <c r="DS254" s="67"/>
      <c r="DT254" s="67"/>
      <c r="DU254" s="67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  <c r="ER254" s="6"/>
      <c r="ES254" s="6"/>
      <c r="ET254" s="6"/>
      <c r="EU254" s="6"/>
      <c r="EV254" s="6"/>
      <c r="EW254" s="6"/>
      <c r="EX254" s="6"/>
      <c r="EY254" s="6"/>
      <c r="EZ254" s="6"/>
      <c r="FA254" s="6"/>
      <c r="FB254" s="6"/>
      <c r="FC254" s="6"/>
      <c r="FD254" s="6"/>
      <c r="FE254" s="6"/>
      <c r="FF254" s="6"/>
      <c r="FG254" s="6"/>
      <c r="FH254" s="6"/>
      <c r="FI254" s="6"/>
      <c r="FJ254" s="6"/>
      <c r="FK254" s="6"/>
      <c r="FL254" s="6"/>
      <c r="FM254" s="6"/>
      <c r="FN254" s="6"/>
      <c r="FO254" s="6"/>
      <c r="FP254" s="6"/>
      <c r="FQ254" s="6"/>
      <c r="FR254" s="6"/>
      <c r="FS254" s="6"/>
      <c r="FT254" s="6"/>
      <c r="FU254" s="6"/>
      <c r="FV254" s="6"/>
      <c r="FW254" s="6"/>
      <c r="FX254" s="6"/>
      <c r="FY254" s="6"/>
      <c r="FZ254" s="6"/>
      <c r="GA254" s="6"/>
      <c r="GB254" s="6"/>
      <c r="GC254" s="6"/>
      <c r="GD254" s="6"/>
      <c r="GE254" s="6"/>
      <c r="GF254" s="6"/>
      <c r="GG254" s="6"/>
      <c r="GH254" s="6"/>
      <c r="GI254" s="6"/>
      <c r="GJ254" s="6"/>
      <c r="GK254" s="6"/>
      <c r="GL254" s="6"/>
    </row>
    <row r="255" spans="1:194" x14ac:dyDescent="0.25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  <c r="AF255" s="67"/>
      <c r="AG255" s="67"/>
      <c r="AH255" s="67"/>
      <c r="AI255" s="67"/>
      <c r="AJ255" s="67"/>
      <c r="AK255" s="67"/>
      <c r="AL255" s="67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  <c r="AX255" s="67"/>
      <c r="AY255" s="67"/>
      <c r="AZ255" s="67"/>
      <c r="BA255" s="67"/>
      <c r="BB255" s="67"/>
      <c r="BC255" s="67"/>
      <c r="BD255" s="67"/>
      <c r="BE255" s="67"/>
      <c r="BF255" s="67"/>
      <c r="BG255" s="67"/>
      <c r="BH255" s="67"/>
      <c r="BI255" s="67"/>
      <c r="BJ255" s="67"/>
      <c r="BK255" s="67"/>
      <c r="BL255" s="67"/>
      <c r="BM255" s="67"/>
      <c r="BN255" s="67"/>
      <c r="BO255" s="67"/>
      <c r="BP255" s="67"/>
      <c r="BQ255" s="67"/>
      <c r="BR255" s="67"/>
      <c r="BS255" s="67"/>
      <c r="BT255" s="67"/>
      <c r="BU255" s="67"/>
      <c r="BV255" s="67"/>
      <c r="BW255" s="67"/>
      <c r="BX255" s="67"/>
      <c r="BY255" s="67"/>
      <c r="BZ255" s="67"/>
      <c r="CA255" s="67"/>
      <c r="CB255" s="67"/>
      <c r="CC255" s="67"/>
      <c r="CD255" s="67"/>
      <c r="CE255" s="67"/>
      <c r="CF255" s="67"/>
      <c r="CG255" s="67"/>
      <c r="CH255" s="67"/>
      <c r="CI255" s="67"/>
      <c r="CJ255" s="67"/>
      <c r="CK255" s="67"/>
      <c r="CL255" s="67"/>
      <c r="CM255" s="67"/>
      <c r="CN255" s="67"/>
      <c r="CO255" s="67"/>
      <c r="CP255" s="67"/>
      <c r="CQ255" s="67"/>
      <c r="CR255" s="67"/>
      <c r="CS255" s="67"/>
      <c r="CT255" s="67"/>
      <c r="CU255" s="67"/>
      <c r="CV255" s="67"/>
      <c r="CW255" s="67"/>
      <c r="CX255" s="67"/>
      <c r="CY255" s="67"/>
      <c r="CZ255" s="67"/>
      <c r="DA255" s="67"/>
      <c r="DB255" s="67"/>
      <c r="DC255" s="67"/>
      <c r="DD255" s="67"/>
      <c r="DE255" s="67"/>
      <c r="DF255" s="67"/>
      <c r="DG255" s="67"/>
      <c r="DH255" s="67"/>
      <c r="DI255" s="67"/>
      <c r="DJ255" s="67"/>
      <c r="DK255" s="67"/>
      <c r="DL255" s="67"/>
      <c r="DM255" s="67"/>
      <c r="DN255" s="67"/>
      <c r="DO255" s="67"/>
      <c r="DP255" s="67"/>
      <c r="DQ255" s="67"/>
      <c r="DR255" s="67"/>
      <c r="DS255" s="67"/>
      <c r="DT255" s="67"/>
      <c r="DU255" s="67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  <c r="ER255" s="6"/>
      <c r="ES255" s="6"/>
      <c r="ET255" s="6"/>
      <c r="EU255" s="6"/>
      <c r="EV255" s="6"/>
      <c r="EW255" s="6"/>
      <c r="EX255" s="6"/>
      <c r="EY255" s="6"/>
      <c r="EZ255" s="6"/>
      <c r="FA255" s="6"/>
      <c r="FB255" s="6"/>
      <c r="FC255" s="6"/>
      <c r="FD255" s="6"/>
      <c r="FE255" s="6"/>
      <c r="FF255" s="6"/>
      <c r="FG255" s="6"/>
      <c r="FH255" s="6"/>
      <c r="FI255" s="6"/>
      <c r="FJ255" s="6"/>
      <c r="FK255" s="6"/>
      <c r="FL255" s="6"/>
      <c r="FM255" s="6"/>
      <c r="FN255" s="6"/>
      <c r="FO255" s="6"/>
      <c r="FP255" s="6"/>
      <c r="FQ255" s="6"/>
      <c r="FR255" s="6"/>
      <c r="FS255" s="6"/>
      <c r="FT255" s="6"/>
      <c r="FU255" s="6"/>
      <c r="FV255" s="6"/>
      <c r="FW255" s="6"/>
      <c r="FX255" s="6"/>
      <c r="FY255" s="6"/>
      <c r="FZ255" s="6"/>
      <c r="GA255" s="6"/>
      <c r="GB255" s="6"/>
      <c r="GC255" s="6"/>
      <c r="GD255" s="6"/>
      <c r="GE255" s="6"/>
      <c r="GF255" s="6"/>
      <c r="GG255" s="6"/>
      <c r="GH255" s="6"/>
      <c r="GI255" s="6"/>
      <c r="GJ255" s="6"/>
      <c r="GK255" s="6"/>
      <c r="GL255" s="6"/>
    </row>
    <row r="256" spans="1:194" x14ac:dyDescent="0.25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  <c r="AA256" s="67"/>
      <c r="AB256" s="67"/>
      <c r="AC256" s="67"/>
      <c r="AD256" s="67"/>
      <c r="AE256" s="67"/>
      <c r="AF256" s="67"/>
      <c r="AG256" s="67"/>
      <c r="AH256" s="67"/>
      <c r="AI256" s="67"/>
      <c r="AJ256" s="67"/>
      <c r="AK256" s="67"/>
      <c r="AL256" s="67"/>
      <c r="AM256" s="67"/>
      <c r="AN256" s="67"/>
      <c r="AO256" s="67"/>
      <c r="AP256" s="67"/>
      <c r="AQ256" s="67"/>
      <c r="AR256" s="67"/>
      <c r="AS256" s="67"/>
      <c r="AT256" s="67"/>
      <c r="AU256" s="67"/>
      <c r="AV256" s="67"/>
      <c r="AW256" s="67"/>
      <c r="AX256" s="67"/>
      <c r="AY256" s="67"/>
      <c r="AZ256" s="67"/>
      <c r="BA256" s="67"/>
      <c r="BB256" s="67"/>
      <c r="BC256" s="67"/>
      <c r="BD256" s="67"/>
      <c r="BE256" s="67"/>
      <c r="BF256" s="67"/>
      <c r="BG256" s="67"/>
      <c r="BH256" s="67"/>
      <c r="BI256" s="67"/>
      <c r="BJ256" s="67"/>
      <c r="BK256" s="67"/>
      <c r="BL256" s="67"/>
      <c r="BM256" s="67"/>
      <c r="BN256" s="67"/>
      <c r="BO256" s="67"/>
      <c r="BP256" s="67"/>
      <c r="BQ256" s="67"/>
      <c r="BR256" s="67"/>
      <c r="BS256" s="67"/>
      <c r="BT256" s="67"/>
      <c r="BU256" s="67"/>
      <c r="BV256" s="67"/>
      <c r="BW256" s="67"/>
      <c r="BX256" s="67"/>
      <c r="BY256" s="67"/>
      <c r="BZ256" s="67"/>
      <c r="CA256" s="67"/>
      <c r="CB256" s="67"/>
      <c r="CC256" s="67"/>
      <c r="CD256" s="67"/>
      <c r="CE256" s="67"/>
      <c r="CF256" s="67"/>
      <c r="CG256" s="67"/>
      <c r="CH256" s="67"/>
      <c r="CI256" s="67"/>
      <c r="CJ256" s="67"/>
      <c r="CK256" s="67"/>
      <c r="CL256" s="67"/>
      <c r="CM256" s="67"/>
      <c r="CN256" s="67"/>
      <c r="CO256" s="67"/>
      <c r="CP256" s="67"/>
      <c r="CQ256" s="67"/>
      <c r="CR256" s="67"/>
      <c r="CS256" s="67"/>
      <c r="CT256" s="67"/>
      <c r="CU256" s="67"/>
      <c r="CV256" s="67"/>
      <c r="CW256" s="67"/>
      <c r="CX256" s="67"/>
      <c r="CY256" s="67"/>
      <c r="CZ256" s="67"/>
      <c r="DA256" s="67"/>
      <c r="DB256" s="67"/>
      <c r="DC256" s="67"/>
      <c r="DD256" s="67"/>
      <c r="DE256" s="67"/>
      <c r="DF256" s="67"/>
      <c r="DG256" s="67"/>
      <c r="DH256" s="67"/>
      <c r="DI256" s="67"/>
      <c r="DJ256" s="67"/>
      <c r="DK256" s="67"/>
      <c r="DL256" s="67"/>
      <c r="DM256" s="67"/>
      <c r="DN256" s="67"/>
      <c r="DO256" s="67"/>
      <c r="DP256" s="67"/>
      <c r="DQ256" s="67"/>
      <c r="DR256" s="67"/>
      <c r="DS256" s="67"/>
      <c r="DT256" s="67"/>
      <c r="DU256" s="67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  <c r="ER256" s="6"/>
      <c r="ES256" s="6"/>
      <c r="ET256" s="6"/>
      <c r="EU256" s="6"/>
      <c r="EV256" s="6"/>
      <c r="EW256" s="6"/>
      <c r="EX256" s="6"/>
      <c r="EY256" s="6"/>
      <c r="EZ256" s="6"/>
      <c r="FA256" s="6"/>
      <c r="FB256" s="6"/>
      <c r="FC256" s="6"/>
      <c r="FD256" s="6"/>
      <c r="FE256" s="6"/>
      <c r="FF256" s="6"/>
      <c r="FG256" s="6"/>
      <c r="FH256" s="6"/>
      <c r="FI256" s="6"/>
      <c r="FJ256" s="6"/>
      <c r="FK256" s="6"/>
      <c r="FL256" s="6"/>
      <c r="FM256" s="6"/>
      <c r="FN256" s="6"/>
      <c r="FO256" s="6"/>
      <c r="FP256" s="6"/>
      <c r="FQ256" s="6"/>
      <c r="FR256" s="6"/>
      <c r="FS256" s="6"/>
      <c r="FT256" s="6"/>
      <c r="FU256" s="6"/>
      <c r="FV256" s="6"/>
      <c r="FW256" s="6"/>
      <c r="FX256" s="6"/>
      <c r="FY256" s="6"/>
      <c r="FZ256" s="6"/>
      <c r="GA256" s="6"/>
      <c r="GB256" s="6"/>
      <c r="GC256" s="6"/>
      <c r="GD256" s="6"/>
      <c r="GE256" s="6"/>
      <c r="GF256" s="6"/>
      <c r="GG256" s="6"/>
      <c r="GH256" s="6"/>
      <c r="GI256" s="6"/>
      <c r="GJ256" s="6"/>
      <c r="GK256" s="6"/>
      <c r="GL256" s="6"/>
    </row>
    <row r="257" spans="1:194" x14ac:dyDescent="0.25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  <c r="AA257" s="67"/>
      <c r="AB257" s="67"/>
      <c r="AC257" s="67"/>
      <c r="AD257" s="67"/>
      <c r="AE257" s="67"/>
      <c r="AF257" s="67"/>
      <c r="AG257" s="67"/>
      <c r="AH257" s="67"/>
      <c r="AI257" s="67"/>
      <c r="AJ257" s="67"/>
      <c r="AK257" s="67"/>
      <c r="AL257" s="67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  <c r="AX257" s="67"/>
      <c r="AY257" s="67"/>
      <c r="AZ257" s="67"/>
      <c r="BA257" s="67"/>
      <c r="BB257" s="67"/>
      <c r="BC257" s="67"/>
      <c r="BD257" s="67"/>
      <c r="BE257" s="67"/>
      <c r="BF257" s="67"/>
      <c r="BG257" s="67"/>
      <c r="BH257" s="67"/>
      <c r="BI257" s="67"/>
      <c r="BJ257" s="67"/>
      <c r="BK257" s="67"/>
      <c r="BL257" s="67"/>
      <c r="BM257" s="67"/>
      <c r="BN257" s="67"/>
      <c r="BO257" s="67"/>
      <c r="BP257" s="67"/>
      <c r="BQ257" s="67"/>
      <c r="BR257" s="67"/>
      <c r="BS257" s="67"/>
      <c r="BT257" s="67"/>
      <c r="BU257" s="67"/>
      <c r="BV257" s="67"/>
      <c r="BW257" s="67"/>
      <c r="BX257" s="67"/>
      <c r="BY257" s="67"/>
      <c r="BZ257" s="67"/>
      <c r="CA257" s="67"/>
      <c r="CB257" s="67"/>
      <c r="CC257" s="67"/>
      <c r="CD257" s="67"/>
      <c r="CE257" s="67"/>
      <c r="CF257" s="67"/>
      <c r="CG257" s="67"/>
      <c r="CH257" s="67"/>
      <c r="CI257" s="67"/>
      <c r="CJ257" s="67"/>
      <c r="CK257" s="67"/>
      <c r="CL257" s="67"/>
      <c r="CM257" s="67"/>
      <c r="CN257" s="67"/>
      <c r="CO257" s="67"/>
      <c r="CP257" s="67"/>
      <c r="CQ257" s="67"/>
      <c r="CR257" s="67"/>
      <c r="CS257" s="67"/>
      <c r="CT257" s="67"/>
      <c r="CU257" s="67"/>
      <c r="CV257" s="67"/>
      <c r="CW257" s="67"/>
      <c r="CX257" s="67"/>
      <c r="CY257" s="67"/>
      <c r="CZ257" s="67"/>
      <c r="DA257" s="67"/>
      <c r="DB257" s="67"/>
      <c r="DC257" s="67"/>
      <c r="DD257" s="67"/>
      <c r="DE257" s="67"/>
      <c r="DF257" s="67"/>
      <c r="DG257" s="67"/>
      <c r="DH257" s="67"/>
      <c r="DI257" s="67"/>
      <c r="DJ257" s="67"/>
      <c r="DK257" s="67"/>
      <c r="DL257" s="67"/>
      <c r="DM257" s="67"/>
      <c r="DN257" s="67"/>
      <c r="DO257" s="67"/>
      <c r="DP257" s="67"/>
      <c r="DQ257" s="67"/>
      <c r="DR257" s="67"/>
      <c r="DS257" s="67"/>
      <c r="DT257" s="67"/>
      <c r="DU257" s="67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  <c r="ER257" s="6"/>
      <c r="ES257" s="6"/>
      <c r="ET257" s="6"/>
      <c r="EU257" s="6"/>
      <c r="EV257" s="6"/>
      <c r="EW257" s="6"/>
      <c r="EX257" s="6"/>
      <c r="EY257" s="6"/>
      <c r="EZ257" s="6"/>
      <c r="FA257" s="6"/>
      <c r="FB257" s="6"/>
      <c r="FC257" s="6"/>
      <c r="FD257" s="6"/>
      <c r="FE257" s="6"/>
      <c r="FF257" s="6"/>
      <c r="FG257" s="6"/>
      <c r="FH257" s="6"/>
      <c r="FI257" s="6"/>
      <c r="FJ257" s="6"/>
      <c r="FK257" s="6"/>
      <c r="FL257" s="6"/>
      <c r="FM257" s="6"/>
      <c r="FN257" s="6"/>
      <c r="FO257" s="6"/>
      <c r="FP257" s="6"/>
      <c r="FQ257" s="6"/>
      <c r="FR257" s="6"/>
      <c r="FS257" s="6"/>
      <c r="FT257" s="6"/>
      <c r="FU257" s="6"/>
      <c r="FV257" s="6"/>
      <c r="FW257" s="6"/>
      <c r="FX257" s="6"/>
      <c r="FY257" s="6"/>
      <c r="FZ257" s="6"/>
      <c r="GA257" s="6"/>
      <c r="GB257" s="6"/>
      <c r="GC257" s="6"/>
      <c r="GD257" s="6"/>
      <c r="GE257" s="6"/>
      <c r="GF257" s="6"/>
      <c r="GG257" s="6"/>
      <c r="GH257" s="6"/>
      <c r="GI257" s="6"/>
      <c r="GJ257" s="6"/>
      <c r="GK257" s="6"/>
      <c r="GL257" s="6"/>
    </row>
    <row r="258" spans="1:194" x14ac:dyDescent="0.25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  <c r="AA258" s="67"/>
      <c r="AB258" s="67"/>
      <c r="AC258" s="67"/>
      <c r="AD258" s="67"/>
      <c r="AE258" s="67"/>
      <c r="AF258" s="67"/>
      <c r="AG258" s="67"/>
      <c r="AH258" s="67"/>
      <c r="AI258" s="67"/>
      <c r="AJ258" s="67"/>
      <c r="AK258" s="67"/>
      <c r="AL258" s="67"/>
      <c r="AM258" s="67"/>
      <c r="AN258" s="67"/>
      <c r="AO258" s="67"/>
      <c r="AP258" s="67"/>
      <c r="AQ258" s="67"/>
      <c r="AR258" s="67"/>
      <c r="AS258" s="67"/>
      <c r="AT258" s="67"/>
      <c r="AU258" s="67"/>
      <c r="AV258" s="67"/>
      <c r="AW258" s="67"/>
      <c r="AX258" s="67"/>
      <c r="AY258" s="67"/>
      <c r="AZ258" s="67"/>
      <c r="BA258" s="67"/>
      <c r="BB258" s="67"/>
      <c r="BC258" s="67"/>
      <c r="BD258" s="67"/>
      <c r="BE258" s="67"/>
      <c r="BF258" s="67"/>
      <c r="BG258" s="67"/>
      <c r="BH258" s="67"/>
      <c r="BI258" s="67"/>
      <c r="BJ258" s="67"/>
      <c r="BK258" s="67"/>
      <c r="BL258" s="67"/>
      <c r="BM258" s="67"/>
      <c r="BN258" s="67"/>
      <c r="BO258" s="67"/>
      <c r="BP258" s="67"/>
      <c r="BQ258" s="67"/>
      <c r="BR258" s="67"/>
      <c r="BS258" s="67"/>
      <c r="BT258" s="67"/>
      <c r="BU258" s="67"/>
      <c r="BV258" s="67"/>
      <c r="BW258" s="67"/>
      <c r="BX258" s="67"/>
      <c r="BY258" s="67"/>
      <c r="BZ258" s="67"/>
      <c r="CA258" s="67"/>
      <c r="CB258" s="67"/>
      <c r="CC258" s="67"/>
      <c r="CD258" s="67"/>
      <c r="CE258" s="67"/>
      <c r="CF258" s="67"/>
      <c r="CG258" s="67"/>
      <c r="CH258" s="67"/>
      <c r="CI258" s="67"/>
      <c r="CJ258" s="67"/>
      <c r="CK258" s="67"/>
      <c r="CL258" s="67"/>
      <c r="CM258" s="67"/>
      <c r="CN258" s="67"/>
      <c r="CO258" s="67"/>
      <c r="CP258" s="67"/>
      <c r="CQ258" s="67"/>
      <c r="CR258" s="67"/>
      <c r="CS258" s="67"/>
      <c r="CT258" s="67"/>
      <c r="CU258" s="67"/>
      <c r="CV258" s="67"/>
      <c r="CW258" s="67"/>
      <c r="CX258" s="67"/>
      <c r="CY258" s="67"/>
      <c r="CZ258" s="67"/>
      <c r="DA258" s="67"/>
      <c r="DB258" s="67"/>
      <c r="DC258" s="67"/>
      <c r="DD258" s="67"/>
      <c r="DE258" s="67"/>
      <c r="DF258" s="67"/>
      <c r="DG258" s="67"/>
      <c r="DH258" s="67"/>
      <c r="DI258" s="67"/>
      <c r="DJ258" s="67"/>
      <c r="DK258" s="67"/>
      <c r="DL258" s="67"/>
      <c r="DM258" s="67"/>
      <c r="DN258" s="67"/>
      <c r="DO258" s="67"/>
      <c r="DP258" s="67"/>
      <c r="DQ258" s="67"/>
      <c r="DR258" s="67"/>
      <c r="DS258" s="67"/>
      <c r="DT258" s="67"/>
      <c r="DU258" s="67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  <c r="ER258" s="6"/>
      <c r="ES258" s="6"/>
      <c r="ET258" s="6"/>
      <c r="EU258" s="6"/>
      <c r="EV258" s="6"/>
      <c r="EW258" s="6"/>
      <c r="EX258" s="6"/>
      <c r="EY258" s="6"/>
      <c r="EZ258" s="6"/>
      <c r="FA258" s="6"/>
      <c r="FB258" s="6"/>
      <c r="FC258" s="6"/>
      <c r="FD258" s="6"/>
      <c r="FE258" s="6"/>
      <c r="FF258" s="6"/>
      <c r="FG258" s="6"/>
      <c r="FH258" s="6"/>
      <c r="FI258" s="6"/>
      <c r="FJ258" s="6"/>
      <c r="FK258" s="6"/>
      <c r="FL258" s="6"/>
      <c r="FM258" s="6"/>
      <c r="FN258" s="6"/>
      <c r="FO258" s="6"/>
      <c r="FP258" s="6"/>
      <c r="FQ258" s="6"/>
      <c r="FR258" s="6"/>
      <c r="FS258" s="6"/>
      <c r="FT258" s="6"/>
      <c r="FU258" s="6"/>
      <c r="FV258" s="6"/>
      <c r="FW258" s="6"/>
      <c r="FX258" s="6"/>
      <c r="FY258" s="6"/>
      <c r="FZ258" s="6"/>
      <c r="GA258" s="6"/>
      <c r="GB258" s="6"/>
      <c r="GC258" s="6"/>
      <c r="GD258" s="6"/>
      <c r="GE258" s="6"/>
      <c r="GF258" s="6"/>
      <c r="GG258" s="6"/>
      <c r="GH258" s="6"/>
      <c r="GI258" s="6"/>
      <c r="GJ258" s="6"/>
      <c r="GK258" s="6"/>
      <c r="GL258" s="6"/>
    </row>
    <row r="259" spans="1:194" x14ac:dyDescent="0.25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  <c r="AA259" s="67"/>
      <c r="AB259" s="67"/>
      <c r="AC259" s="67"/>
      <c r="AD259" s="67"/>
      <c r="AE259" s="67"/>
      <c r="AF259" s="67"/>
      <c r="AG259" s="67"/>
      <c r="AH259" s="67"/>
      <c r="AI259" s="67"/>
      <c r="AJ259" s="67"/>
      <c r="AK259" s="67"/>
      <c r="AL259" s="67"/>
      <c r="AM259" s="67"/>
      <c r="AN259" s="67"/>
      <c r="AO259" s="67"/>
      <c r="AP259" s="67"/>
      <c r="AQ259" s="67"/>
      <c r="AR259" s="67"/>
      <c r="AS259" s="67"/>
      <c r="AT259" s="67"/>
      <c r="AU259" s="67"/>
      <c r="AV259" s="67"/>
      <c r="AW259" s="67"/>
      <c r="AX259" s="67"/>
      <c r="AY259" s="67"/>
      <c r="AZ259" s="67"/>
      <c r="BA259" s="67"/>
      <c r="BB259" s="67"/>
      <c r="BC259" s="67"/>
      <c r="BD259" s="67"/>
      <c r="BE259" s="67"/>
      <c r="BF259" s="67"/>
      <c r="BG259" s="67"/>
      <c r="BH259" s="67"/>
      <c r="BI259" s="67"/>
      <c r="BJ259" s="67"/>
      <c r="BK259" s="67"/>
      <c r="BL259" s="67"/>
      <c r="BM259" s="67"/>
      <c r="BN259" s="67"/>
      <c r="BO259" s="67"/>
      <c r="BP259" s="67"/>
      <c r="BQ259" s="67"/>
      <c r="BR259" s="67"/>
      <c r="BS259" s="67"/>
      <c r="BT259" s="67"/>
      <c r="BU259" s="67"/>
      <c r="BV259" s="67"/>
      <c r="BW259" s="67"/>
      <c r="BX259" s="67"/>
      <c r="BY259" s="67"/>
      <c r="BZ259" s="67"/>
      <c r="CA259" s="67"/>
      <c r="CB259" s="67"/>
      <c r="CC259" s="67"/>
      <c r="CD259" s="67"/>
      <c r="CE259" s="67"/>
      <c r="CF259" s="67"/>
      <c r="CG259" s="67"/>
      <c r="CH259" s="67"/>
      <c r="CI259" s="67"/>
      <c r="CJ259" s="67"/>
      <c r="CK259" s="67"/>
      <c r="CL259" s="67"/>
      <c r="CM259" s="67"/>
      <c r="CN259" s="67"/>
      <c r="CO259" s="67"/>
      <c r="CP259" s="67"/>
      <c r="CQ259" s="67"/>
      <c r="CR259" s="67"/>
      <c r="CS259" s="67"/>
      <c r="CT259" s="67"/>
      <c r="CU259" s="67"/>
      <c r="CV259" s="67"/>
      <c r="CW259" s="67"/>
      <c r="CX259" s="67"/>
      <c r="CY259" s="67"/>
      <c r="CZ259" s="67"/>
      <c r="DA259" s="67"/>
      <c r="DB259" s="67"/>
      <c r="DC259" s="67"/>
      <c r="DD259" s="67"/>
      <c r="DE259" s="67"/>
      <c r="DF259" s="67"/>
      <c r="DG259" s="67"/>
      <c r="DH259" s="67"/>
      <c r="DI259" s="67"/>
      <c r="DJ259" s="67"/>
      <c r="DK259" s="67"/>
      <c r="DL259" s="67"/>
      <c r="DM259" s="67"/>
      <c r="DN259" s="67"/>
      <c r="DO259" s="67"/>
      <c r="DP259" s="67"/>
      <c r="DQ259" s="67"/>
      <c r="DR259" s="67"/>
      <c r="DS259" s="67"/>
      <c r="DT259" s="67"/>
      <c r="DU259" s="67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  <c r="ER259" s="6"/>
      <c r="ES259" s="6"/>
      <c r="ET259" s="6"/>
      <c r="EU259" s="6"/>
      <c r="EV259" s="6"/>
      <c r="EW259" s="6"/>
      <c r="EX259" s="6"/>
      <c r="EY259" s="6"/>
      <c r="EZ259" s="6"/>
      <c r="FA259" s="6"/>
      <c r="FB259" s="6"/>
      <c r="FC259" s="6"/>
      <c r="FD259" s="6"/>
      <c r="FE259" s="6"/>
      <c r="FF259" s="6"/>
      <c r="FG259" s="6"/>
      <c r="FH259" s="6"/>
      <c r="FI259" s="6"/>
      <c r="FJ259" s="6"/>
      <c r="FK259" s="6"/>
      <c r="FL259" s="6"/>
      <c r="FM259" s="6"/>
      <c r="FN259" s="6"/>
      <c r="FO259" s="6"/>
      <c r="FP259" s="6"/>
      <c r="FQ259" s="6"/>
      <c r="FR259" s="6"/>
      <c r="FS259" s="6"/>
      <c r="FT259" s="6"/>
      <c r="FU259" s="6"/>
      <c r="FV259" s="6"/>
      <c r="FW259" s="6"/>
      <c r="FX259" s="6"/>
      <c r="FY259" s="6"/>
      <c r="FZ259" s="6"/>
      <c r="GA259" s="6"/>
      <c r="GB259" s="6"/>
      <c r="GC259" s="6"/>
      <c r="GD259" s="6"/>
      <c r="GE259" s="6"/>
      <c r="GF259" s="6"/>
      <c r="GG259" s="6"/>
      <c r="GH259" s="6"/>
      <c r="GI259" s="6"/>
      <c r="GJ259" s="6"/>
      <c r="GK259" s="6"/>
      <c r="GL259" s="6"/>
    </row>
    <row r="260" spans="1:194" x14ac:dyDescent="0.25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  <c r="AA260" s="67"/>
      <c r="AB260" s="67"/>
      <c r="AC260" s="67"/>
      <c r="AD260" s="67"/>
      <c r="AE260" s="67"/>
      <c r="AF260" s="67"/>
      <c r="AG260" s="67"/>
      <c r="AH260" s="67"/>
      <c r="AI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  <c r="BB260" s="67"/>
      <c r="BC260" s="67"/>
      <c r="BD260" s="67"/>
      <c r="BE260" s="67"/>
      <c r="BF260" s="67"/>
      <c r="BG260" s="67"/>
      <c r="BH260" s="67"/>
      <c r="BI260" s="67"/>
      <c r="BJ260" s="67"/>
      <c r="BK260" s="67"/>
      <c r="BL260" s="67"/>
      <c r="BM260" s="67"/>
      <c r="BN260" s="67"/>
      <c r="BO260" s="67"/>
      <c r="BP260" s="67"/>
      <c r="BQ260" s="67"/>
      <c r="BR260" s="67"/>
      <c r="BS260" s="67"/>
      <c r="BT260" s="67"/>
      <c r="BU260" s="67"/>
      <c r="BV260" s="67"/>
      <c r="BW260" s="67"/>
      <c r="BX260" s="67"/>
      <c r="BY260" s="67"/>
      <c r="BZ260" s="67"/>
      <c r="CA260" s="67"/>
      <c r="CB260" s="67"/>
      <c r="CC260" s="67"/>
      <c r="CD260" s="67"/>
      <c r="CE260" s="67"/>
      <c r="CF260" s="67"/>
      <c r="CG260" s="67"/>
      <c r="CH260" s="67"/>
      <c r="CI260" s="67"/>
      <c r="CJ260" s="67"/>
      <c r="CK260" s="67"/>
      <c r="CL260" s="67"/>
      <c r="CM260" s="67"/>
      <c r="CN260" s="67"/>
      <c r="CO260" s="67"/>
      <c r="CP260" s="67"/>
      <c r="CQ260" s="67"/>
      <c r="CR260" s="67"/>
      <c r="CS260" s="67"/>
      <c r="CT260" s="67"/>
      <c r="CU260" s="67"/>
      <c r="CV260" s="67"/>
      <c r="CW260" s="67"/>
      <c r="CX260" s="67"/>
      <c r="CY260" s="67"/>
      <c r="CZ260" s="67"/>
      <c r="DA260" s="67"/>
      <c r="DB260" s="67"/>
      <c r="DC260" s="67"/>
      <c r="DD260" s="67"/>
      <c r="DE260" s="67"/>
      <c r="DF260" s="67"/>
      <c r="DG260" s="67"/>
      <c r="DH260" s="67"/>
      <c r="DI260" s="67"/>
      <c r="DJ260" s="67"/>
      <c r="DK260" s="67"/>
      <c r="DL260" s="67"/>
      <c r="DM260" s="67"/>
      <c r="DN260" s="67"/>
      <c r="DO260" s="67"/>
      <c r="DP260" s="67"/>
      <c r="DQ260" s="67"/>
      <c r="DR260" s="67"/>
      <c r="DS260" s="67"/>
      <c r="DT260" s="67"/>
      <c r="DU260" s="67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  <c r="ER260" s="6"/>
      <c r="ES260" s="6"/>
      <c r="ET260" s="6"/>
      <c r="EU260" s="6"/>
      <c r="EV260" s="6"/>
      <c r="EW260" s="6"/>
      <c r="EX260" s="6"/>
      <c r="EY260" s="6"/>
      <c r="EZ260" s="6"/>
      <c r="FA260" s="6"/>
      <c r="FB260" s="6"/>
      <c r="FC260" s="6"/>
      <c r="FD260" s="6"/>
      <c r="FE260" s="6"/>
      <c r="FF260" s="6"/>
      <c r="FG260" s="6"/>
      <c r="FH260" s="6"/>
      <c r="FI260" s="6"/>
      <c r="FJ260" s="6"/>
      <c r="FK260" s="6"/>
      <c r="FL260" s="6"/>
      <c r="FM260" s="6"/>
      <c r="FN260" s="6"/>
      <c r="FO260" s="6"/>
      <c r="FP260" s="6"/>
      <c r="FQ260" s="6"/>
      <c r="FR260" s="6"/>
      <c r="FS260" s="6"/>
      <c r="FT260" s="6"/>
      <c r="FU260" s="6"/>
      <c r="FV260" s="6"/>
      <c r="FW260" s="6"/>
      <c r="FX260" s="6"/>
      <c r="FY260" s="6"/>
      <c r="FZ260" s="6"/>
      <c r="GA260" s="6"/>
      <c r="GB260" s="6"/>
      <c r="GC260" s="6"/>
      <c r="GD260" s="6"/>
      <c r="GE260" s="6"/>
      <c r="GF260" s="6"/>
      <c r="GG260" s="6"/>
      <c r="GH260" s="6"/>
      <c r="GI260" s="6"/>
      <c r="GJ260" s="6"/>
      <c r="GK260" s="6"/>
      <c r="GL260" s="6"/>
    </row>
    <row r="261" spans="1:194" x14ac:dyDescent="0.25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  <c r="AA261" s="67"/>
      <c r="AB261" s="67"/>
      <c r="AC261" s="67"/>
      <c r="AD261" s="67"/>
      <c r="AE261" s="67"/>
      <c r="AF261" s="67"/>
      <c r="AG261" s="67"/>
      <c r="AH261" s="67"/>
      <c r="AI261" s="67"/>
      <c r="AJ261" s="67"/>
      <c r="AK261" s="67"/>
      <c r="AL261" s="67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/>
      <c r="BD261" s="67"/>
      <c r="BE261" s="67"/>
      <c r="BF261" s="67"/>
      <c r="BG261" s="67"/>
      <c r="BH261" s="67"/>
      <c r="BI261" s="67"/>
      <c r="BJ261" s="67"/>
      <c r="BK261" s="67"/>
      <c r="BL261" s="67"/>
      <c r="BM261" s="67"/>
      <c r="BN261" s="67"/>
      <c r="BO261" s="67"/>
      <c r="BP261" s="67"/>
      <c r="BQ261" s="67"/>
      <c r="BR261" s="67"/>
      <c r="BS261" s="67"/>
      <c r="BT261" s="67"/>
      <c r="BU261" s="67"/>
      <c r="BV261" s="67"/>
      <c r="BW261" s="67"/>
      <c r="BX261" s="67"/>
      <c r="BY261" s="67"/>
      <c r="BZ261" s="67"/>
      <c r="CA261" s="67"/>
      <c r="CB261" s="67"/>
      <c r="CC261" s="67"/>
      <c r="CD261" s="67"/>
      <c r="CE261" s="67"/>
      <c r="CF261" s="67"/>
      <c r="CG261" s="67"/>
      <c r="CH261" s="67"/>
      <c r="CI261" s="67"/>
      <c r="CJ261" s="67"/>
      <c r="CK261" s="67"/>
      <c r="CL261" s="67"/>
      <c r="CM261" s="67"/>
      <c r="CN261" s="67"/>
      <c r="CO261" s="67"/>
      <c r="CP261" s="67"/>
      <c r="CQ261" s="67"/>
      <c r="CR261" s="67"/>
      <c r="CS261" s="67"/>
      <c r="CT261" s="67"/>
      <c r="CU261" s="67"/>
      <c r="CV261" s="67"/>
      <c r="CW261" s="67"/>
      <c r="CX261" s="67"/>
      <c r="CY261" s="67"/>
      <c r="CZ261" s="67"/>
      <c r="DA261" s="67"/>
      <c r="DB261" s="67"/>
      <c r="DC261" s="67"/>
      <c r="DD261" s="67"/>
      <c r="DE261" s="67"/>
      <c r="DF261" s="67"/>
      <c r="DG261" s="67"/>
      <c r="DH261" s="67"/>
      <c r="DI261" s="67"/>
      <c r="DJ261" s="67"/>
      <c r="DK261" s="67"/>
      <c r="DL261" s="67"/>
      <c r="DM261" s="67"/>
      <c r="DN261" s="67"/>
      <c r="DO261" s="67"/>
      <c r="DP261" s="67"/>
      <c r="DQ261" s="67"/>
      <c r="DR261" s="67"/>
      <c r="DS261" s="67"/>
      <c r="DT261" s="67"/>
      <c r="DU261" s="67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  <c r="ER261" s="6"/>
      <c r="ES261" s="6"/>
      <c r="ET261" s="6"/>
      <c r="EU261" s="6"/>
      <c r="EV261" s="6"/>
      <c r="EW261" s="6"/>
      <c r="EX261" s="6"/>
      <c r="EY261" s="6"/>
      <c r="EZ261" s="6"/>
      <c r="FA261" s="6"/>
      <c r="FB261" s="6"/>
      <c r="FC261" s="6"/>
      <c r="FD261" s="6"/>
      <c r="FE261" s="6"/>
      <c r="FF261" s="6"/>
      <c r="FG261" s="6"/>
      <c r="FH261" s="6"/>
      <c r="FI261" s="6"/>
      <c r="FJ261" s="6"/>
      <c r="FK261" s="6"/>
      <c r="FL261" s="6"/>
      <c r="FM261" s="6"/>
      <c r="FN261" s="6"/>
      <c r="FO261" s="6"/>
      <c r="FP261" s="6"/>
      <c r="FQ261" s="6"/>
      <c r="FR261" s="6"/>
      <c r="FS261" s="6"/>
      <c r="FT261" s="6"/>
      <c r="FU261" s="6"/>
      <c r="FV261" s="6"/>
      <c r="FW261" s="6"/>
      <c r="FX261" s="6"/>
      <c r="FY261" s="6"/>
      <c r="FZ261" s="6"/>
      <c r="GA261" s="6"/>
      <c r="GB261" s="6"/>
      <c r="GC261" s="6"/>
      <c r="GD261" s="6"/>
      <c r="GE261" s="6"/>
      <c r="GF261" s="6"/>
      <c r="GG261" s="6"/>
      <c r="GH261" s="6"/>
      <c r="GI261" s="6"/>
      <c r="GJ261" s="6"/>
      <c r="GK261" s="6"/>
      <c r="GL261" s="6"/>
    </row>
    <row r="262" spans="1:194" x14ac:dyDescent="0.25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  <c r="AA262" s="67"/>
      <c r="AB262" s="67"/>
      <c r="AC262" s="67"/>
      <c r="AD262" s="67"/>
      <c r="AE262" s="67"/>
      <c r="AF262" s="67"/>
      <c r="AG262" s="67"/>
      <c r="AH262" s="67"/>
      <c r="AI262" s="67"/>
      <c r="AJ262" s="67"/>
      <c r="AK262" s="67"/>
      <c r="AL262" s="67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  <c r="BB262" s="67"/>
      <c r="BC262" s="67"/>
      <c r="BD262" s="67"/>
      <c r="BE262" s="67"/>
      <c r="BF262" s="67"/>
      <c r="BG262" s="67"/>
      <c r="BH262" s="67"/>
      <c r="BI262" s="67"/>
      <c r="BJ262" s="67"/>
      <c r="BK262" s="67"/>
      <c r="BL262" s="67"/>
      <c r="BM262" s="67"/>
      <c r="BN262" s="67"/>
      <c r="BO262" s="67"/>
      <c r="BP262" s="67"/>
      <c r="BQ262" s="67"/>
      <c r="BR262" s="67"/>
      <c r="BS262" s="67"/>
      <c r="BT262" s="67"/>
      <c r="BU262" s="67"/>
      <c r="BV262" s="67"/>
      <c r="BW262" s="67"/>
      <c r="BX262" s="67"/>
      <c r="BY262" s="67"/>
      <c r="BZ262" s="67"/>
      <c r="CA262" s="67"/>
      <c r="CB262" s="67"/>
      <c r="CC262" s="67"/>
      <c r="CD262" s="67"/>
      <c r="CE262" s="67"/>
      <c r="CF262" s="67"/>
      <c r="CG262" s="67"/>
      <c r="CH262" s="67"/>
      <c r="CI262" s="67"/>
      <c r="CJ262" s="67"/>
      <c r="CK262" s="67"/>
      <c r="CL262" s="67"/>
      <c r="CM262" s="67"/>
      <c r="CN262" s="67"/>
      <c r="CO262" s="67"/>
      <c r="CP262" s="67"/>
      <c r="CQ262" s="67"/>
      <c r="CR262" s="67"/>
      <c r="CS262" s="67"/>
      <c r="CT262" s="67"/>
      <c r="CU262" s="67"/>
      <c r="CV262" s="67"/>
      <c r="CW262" s="67"/>
      <c r="CX262" s="67"/>
      <c r="CY262" s="67"/>
      <c r="CZ262" s="67"/>
      <c r="DA262" s="67"/>
      <c r="DB262" s="67"/>
      <c r="DC262" s="67"/>
      <c r="DD262" s="67"/>
      <c r="DE262" s="67"/>
      <c r="DF262" s="67"/>
      <c r="DG262" s="67"/>
      <c r="DH262" s="67"/>
      <c r="DI262" s="67"/>
      <c r="DJ262" s="67"/>
      <c r="DK262" s="67"/>
      <c r="DL262" s="67"/>
      <c r="DM262" s="67"/>
      <c r="DN262" s="67"/>
      <c r="DO262" s="67"/>
      <c r="DP262" s="67"/>
      <c r="DQ262" s="67"/>
      <c r="DR262" s="67"/>
      <c r="DS262" s="67"/>
      <c r="DT262" s="67"/>
      <c r="DU262" s="67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  <c r="ER262" s="6"/>
      <c r="ES262" s="6"/>
      <c r="ET262" s="6"/>
      <c r="EU262" s="6"/>
      <c r="EV262" s="6"/>
      <c r="EW262" s="6"/>
      <c r="EX262" s="6"/>
      <c r="EY262" s="6"/>
      <c r="EZ262" s="6"/>
      <c r="FA262" s="6"/>
      <c r="FB262" s="6"/>
      <c r="FC262" s="6"/>
      <c r="FD262" s="6"/>
      <c r="FE262" s="6"/>
      <c r="FF262" s="6"/>
      <c r="FG262" s="6"/>
      <c r="FH262" s="6"/>
      <c r="FI262" s="6"/>
      <c r="FJ262" s="6"/>
      <c r="FK262" s="6"/>
      <c r="FL262" s="6"/>
      <c r="FM262" s="6"/>
      <c r="FN262" s="6"/>
      <c r="FO262" s="6"/>
      <c r="FP262" s="6"/>
      <c r="FQ262" s="6"/>
      <c r="FR262" s="6"/>
      <c r="FS262" s="6"/>
      <c r="FT262" s="6"/>
      <c r="FU262" s="6"/>
      <c r="FV262" s="6"/>
      <c r="FW262" s="6"/>
      <c r="FX262" s="6"/>
      <c r="FY262" s="6"/>
      <c r="FZ262" s="6"/>
      <c r="GA262" s="6"/>
      <c r="GB262" s="6"/>
      <c r="GC262" s="6"/>
      <c r="GD262" s="6"/>
      <c r="GE262" s="6"/>
      <c r="GF262" s="6"/>
      <c r="GG262" s="6"/>
      <c r="GH262" s="6"/>
      <c r="GI262" s="6"/>
      <c r="GJ262" s="6"/>
      <c r="GK262" s="6"/>
      <c r="GL262" s="6"/>
    </row>
    <row r="263" spans="1:194" x14ac:dyDescent="0.25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  <c r="AA263" s="67"/>
      <c r="AB263" s="67"/>
      <c r="AC263" s="67"/>
      <c r="AD263" s="67"/>
      <c r="AE263" s="67"/>
      <c r="AF263" s="67"/>
      <c r="AG263" s="67"/>
      <c r="AH263" s="67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  <c r="BB263" s="67"/>
      <c r="BC263" s="67"/>
      <c r="BD263" s="67"/>
      <c r="BE263" s="67"/>
      <c r="BF263" s="67"/>
      <c r="BG263" s="67"/>
      <c r="BH263" s="67"/>
      <c r="BI263" s="67"/>
      <c r="BJ263" s="67"/>
      <c r="BK263" s="67"/>
      <c r="BL263" s="67"/>
      <c r="BM263" s="67"/>
      <c r="BN263" s="67"/>
      <c r="BO263" s="67"/>
      <c r="BP263" s="67"/>
      <c r="BQ263" s="67"/>
      <c r="BR263" s="67"/>
      <c r="BS263" s="67"/>
      <c r="BT263" s="67"/>
      <c r="BU263" s="67"/>
      <c r="BV263" s="67"/>
      <c r="BW263" s="67"/>
      <c r="BX263" s="67"/>
      <c r="BY263" s="67"/>
      <c r="BZ263" s="67"/>
      <c r="CA263" s="67"/>
      <c r="CB263" s="67"/>
      <c r="CC263" s="67"/>
      <c r="CD263" s="67"/>
      <c r="CE263" s="67"/>
      <c r="CF263" s="67"/>
      <c r="CG263" s="67"/>
      <c r="CH263" s="67"/>
      <c r="CI263" s="67"/>
      <c r="CJ263" s="67"/>
      <c r="CK263" s="67"/>
      <c r="CL263" s="67"/>
      <c r="CM263" s="67"/>
      <c r="CN263" s="67"/>
      <c r="CO263" s="67"/>
      <c r="CP263" s="67"/>
      <c r="CQ263" s="67"/>
      <c r="CR263" s="67"/>
      <c r="CS263" s="67"/>
      <c r="CT263" s="67"/>
      <c r="CU263" s="67"/>
      <c r="CV263" s="67"/>
      <c r="CW263" s="67"/>
      <c r="CX263" s="67"/>
      <c r="CY263" s="67"/>
      <c r="CZ263" s="67"/>
      <c r="DA263" s="67"/>
      <c r="DB263" s="67"/>
      <c r="DC263" s="67"/>
      <c r="DD263" s="67"/>
      <c r="DE263" s="67"/>
      <c r="DF263" s="67"/>
      <c r="DG263" s="67"/>
      <c r="DH263" s="67"/>
      <c r="DI263" s="67"/>
      <c r="DJ263" s="67"/>
      <c r="DK263" s="67"/>
      <c r="DL263" s="67"/>
      <c r="DM263" s="67"/>
      <c r="DN263" s="67"/>
      <c r="DO263" s="67"/>
      <c r="DP263" s="67"/>
      <c r="DQ263" s="67"/>
      <c r="DR263" s="67"/>
      <c r="DS263" s="67"/>
      <c r="DT263" s="67"/>
      <c r="DU263" s="67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  <c r="ER263" s="6"/>
      <c r="ES263" s="6"/>
      <c r="ET263" s="6"/>
      <c r="EU263" s="6"/>
      <c r="EV263" s="6"/>
      <c r="EW263" s="6"/>
      <c r="EX263" s="6"/>
      <c r="EY263" s="6"/>
      <c r="EZ263" s="6"/>
      <c r="FA263" s="6"/>
      <c r="FB263" s="6"/>
      <c r="FC263" s="6"/>
      <c r="FD263" s="6"/>
      <c r="FE263" s="6"/>
      <c r="FF263" s="6"/>
      <c r="FG263" s="6"/>
      <c r="FH263" s="6"/>
      <c r="FI263" s="6"/>
      <c r="FJ263" s="6"/>
      <c r="FK263" s="6"/>
      <c r="FL263" s="6"/>
      <c r="FM263" s="6"/>
      <c r="FN263" s="6"/>
      <c r="FO263" s="6"/>
      <c r="FP263" s="6"/>
      <c r="FQ263" s="6"/>
      <c r="FR263" s="6"/>
      <c r="FS263" s="6"/>
      <c r="FT263" s="6"/>
      <c r="FU263" s="6"/>
      <c r="FV263" s="6"/>
      <c r="FW263" s="6"/>
      <c r="FX263" s="6"/>
      <c r="FY263" s="6"/>
      <c r="FZ263" s="6"/>
      <c r="GA263" s="6"/>
      <c r="GB263" s="6"/>
      <c r="GC263" s="6"/>
      <c r="GD263" s="6"/>
      <c r="GE263" s="6"/>
      <c r="GF263" s="6"/>
      <c r="GG263" s="6"/>
      <c r="GH263" s="6"/>
      <c r="GI263" s="6"/>
      <c r="GJ263" s="6"/>
      <c r="GK263" s="6"/>
      <c r="GL263" s="6"/>
    </row>
    <row r="264" spans="1:194" x14ac:dyDescent="0.25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  <c r="AA264" s="67"/>
      <c r="AB264" s="67"/>
      <c r="AC264" s="67"/>
      <c r="AD264" s="67"/>
      <c r="AE264" s="67"/>
      <c r="AF264" s="67"/>
      <c r="AG264" s="67"/>
      <c r="AH264" s="67"/>
      <c r="AI264" s="67"/>
      <c r="AJ264" s="67"/>
      <c r="AK264" s="67"/>
      <c r="AL264" s="67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  <c r="BB264" s="67"/>
      <c r="BC264" s="67"/>
      <c r="BD264" s="67"/>
      <c r="BE264" s="67"/>
      <c r="BF264" s="67"/>
      <c r="BG264" s="67"/>
      <c r="BH264" s="67"/>
      <c r="BI264" s="67"/>
      <c r="BJ264" s="67"/>
      <c r="BK264" s="67"/>
      <c r="BL264" s="67"/>
      <c r="BM264" s="67"/>
      <c r="BN264" s="67"/>
      <c r="BO264" s="67"/>
      <c r="BP264" s="67"/>
      <c r="BQ264" s="67"/>
      <c r="BR264" s="67"/>
      <c r="BS264" s="67"/>
      <c r="BT264" s="67"/>
      <c r="BU264" s="67"/>
      <c r="BV264" s="67"/>
      <c r="BW264" s="67"/>
      <c r="BX264" s="67"/>
      <c r="BY264" s="67"/>
      <c r="BZ264" s="67"/>
      <c r="CA264" s="67"/>
      <c r="CB264" s="67"/>
      <c r="CC264" s="67"/>
      <c r="CD264" s="67"/>
      <c r="CE264" s="67"/>
      <c r="CF264" s="67"/>
      <c r="CG264" s="67"/>
      <c r="CH264" s="67"/>
      <c r="CI264" s="67"/>
      <c r="CJ264" s="67"/>
      <c r="CK264" s="67"/>
      <c r="CL264" s="67"/>
      <c r="CM264" s="67"/>
      <c r="CN264" s="67"/>
      <c r="CO264" s="67"/>
      <c r="CP264" s="67"/>
      <c r="CQ264" s="67"/>
      <c r="CR264" s="67"/>
      <c r="CS264" s="67"/>
      <c r="CT264" s="67"/>
      <c r="CU264" s="67"/>
      <c r="CV264" s="67"/>
      <c r="CW264" s="67"/>
      <c r="CX264" s="67"/>
      <c r="CY264" s="67"/>
      <c r="CZ264" s="67"/>
      <c r="DA264" s="67"/>
      <c r="DB264" s="67"/>
      <c r="DC264" s="67"/>
      <c r="DD264" s="67"/>
      <c r="DE264" s="67"/>
      <c r="DF264" s="67"/>
      <c r="DG264" s="67"/>
      <c r="DH264" s="67"/>
      <c r="DI264" s="67"/>
      <c r="DJ264" s="67"/>
      <c r="DK264" s="67"/>
      <c r="DL264" s="67"/>
      <c r="DM264" s="67"/>
      <c r="DN264" s="67"/>
      <c r="DO264" s="67"/>
      <c r="DP264" s="67"/>
      <c r="DQ264" s="67"/>
      <c r="DR264" s="67"/>
      <c r="DS264" s="67"/>
      <c r="DT264" s="67"/>
      <c r="DU264" s="67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  <c r="ER264" s="6"/>
      <c r="ES264" s="6"/>
      <c r="ET264" s="6"/>
      <c r="EU264" s="6"/>
      <c r="EV264" s="6"/>
      <c r="EW264" s="6"/>
      <c r="EX264" s="6"/>
      <c r="EY264" s="6"/>
      <c r="EZ264" s="6"/>
      <c r="FA264" s="6"/>
      <c r="FB264" s="6"/>
      <c r="FC264" s="6"/>
      <c r="FD264" s="6"/>
      <c r="FE264" s="6"/>
      <c r="FF264" s="6"/>
      <c r="FG264" s="6"/>
      <c r="FH264" s="6"/>
      <c r="FI264" s="6"/>
      <c r="FJ264" s="6"/>
      <c r="FK264" s="6"/>
      <c r="FL264" s="6"/>
      <c r="FM264" s="6"/>
      <c r="FN264" s="6"/>
      <c r="FO264" s="6"/>
      <c r="FP264" s="6"/>
      <c r="FQ264" s="6"/>
      <c r="FR264" s="6"/>
      <c r="FS264" s="6"/>
      <c r="FT264" s="6"/>
      <c r="FU264" s="6"/>
      <c r="FV264" s="6"/>
      <c r="FW264" s="6"/>
      <c r="FX264" s="6"/>
      <c r="FY264" s="6"/>
      <c r="FZ264" s="6"/>
      <c r="GA264" s="6"/>
      <c r="GB264" s="6"/>
      <c r="GC264" s="6"/>
      <c r="GD264" s="6"/>
      <c r="GE264" s="6"/>
      <c r="GF264" s="6"/>
      <c r="GG264" s="6"/>
      <c r="GH264" s="6"/>
      <c r="GI264" s="6"/>
      <c r="GJ264" s="6"/>
      <c r="GK264" s="6"/>
      <c r="GL264" s="6"/>
    </row>
    <row r="265" spans="1:194" x14ac:dyDescent="0.25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  <c r="AA265" s="67"/>
      <c r="AB265" s="67"/>
      <c r="AC265" s="67"/>
      <c r="AD265" s="67"/>
      <c r="AE265" s="67"/>
      <c r="AF265" s="67"/>
      <c r="AG265" s="67"/>
      <c r="AH265" s="67"/>
      <c r="AI265" s="67"/>
      <c r="AJ265" s="67"/>
      <c r="AK265" s="67"/>
      <c r="AL265" s="67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  <c r="BB265" s="67"/>
      <c r="BC265" s="67"/>
      <c r="BD265" s="67"/>
      <c r="BE265" s="67"/>
      <c r="BF265" s="67"/>
      <c r="BG265" s="67"/>
      <c r="BH265" s="67"/>
      <c r="BI265" s="67"/>
      <c r="BJ265" s="67"/>
      <c r="BK265" s="67"/>
      <c r="BL265" s="67"/>
      <c r="BM265" s="67"/>
      <c r="BN265" s="67"/>
      <c r="BO265" s="67"/>
      <c r="BP265" s="67"/>
      <c r="BQ265" s="67"/>
      <c r="BR265" s="67"/>
      <c r="BS265" s="67"/>
      <c r="BT265" s="67"/>
      <c r="BU265" s="67"/>
      <c r="BV265" s="67"/>
      <c r="BW265" s="67"/>
      <c r="BX265" s="67"/>
      <c r="BY265" s="67"/>
      <c r="BZ265" s="67"/>
      <c r="CA265" s="67"/>
      <c r="CB265" s="67"/>
      <c r="CC265" s="67"/>
      <c r="CD265" s="67"/>
      <c r="CE265" s="67"/>
      <c r="CF265" s="67"/>
      <c r="CG265" s="67"/>
      <c r="CH265" s="67"/>
      <c r="CI265" s="67"/>
      <c r="CJ265" s="67"/>
      <c r="CK265" s="67"/>
      <c r="CL265" s="67"/>
      <c r="CM265" s="67"/>
      <c r="CN265" s="67"/>
      <c r="CO265" s="67"/>
      <c r="CP265" s="67"/>
      <c r="CQ265" s="67"/>
      <c r="CR265" s="67"/>
      <c r="CS265" s="67"/>
      <c r="CT265" s="67"/>
      <c r="CU265" s="67"/>
      <c r="CV265" s="67"/>
      <c r="CW265" s="67"/>
      <c r="CX265" s="67"/>
      <c r="CY265" s="67"/>
      <c r="CZ265" s="67"/>
      <c r="DA265" s="67"/>
      <c r="DB265" s="67"/>
      <c r="DC265" s="67"/>
      <c r="DD265" s="67"/>
      <c r="DE265" s="67"/>
      <c r="DF265" s="67"/>
      <c r="DG265" s="67"/>
      <c r="DH265" s="67"/>
      <c r="DI265" s="67"/>
      <c r="DJ265" s="67"/>
      <c r="DK265" s="67"/>
      <c r="DL265" s="67"/>
      <c r="DM265" s="67"/>
      <c r="DN265" s="67"/>
      <c r="DO265" s="67"/>
      <c r="DP265" s="67"/>
      <c r="DQ265" s="67"/>
      <c r="DR265" s="67"/>
      <c r="DS265" s="67"/>
      <c r="DT265" s="67"/>
      <c r="DU265" s="67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  <c r="ER265" s="6"/>
      <c r="ES265" s="6"/>
      <c r="ET265" s="6"/>
      <c r="EU265" s="6"/>
      <c r="EV265" s="6"/>
      <c r="EW265" s="6"/>
      <c r="EX265" s="6"/>
      <c r="EY265" s="6"/>
      <c r="EZ265" s="6"/>
      <c r="FA265" s="6"/>
      <c r="FB265" s="6"/>
      <c r="FC265" s="6"/>
      <c r="FD265" s="6"/>
      <c r="FE265" s="6"/>
      <c r="FF265" s="6"/>
      <c r="FG265" s="6"/>
      <c r="FH265" s="6"/>
      <c r="FI265" s="6"/>
      <c r="FJ265" s="6"/>
      <c r="FK265" s="6"/>
      <c r="FL265" s="6"/>
      <c r="FM265" s="6"/>
      <c r="FN265" s="6"/>
      <c r="FO265" s="6"/>
      <c r="FP265" s="6"/>
      <c r="FQ265" s="6"/>
      <c r="FR265" s="6"/>
      <c r="FS265" s="6"/>
      <c r="FT265" s="6"/>
      <c r="FU265" s="6"/>
      <c r="FV265" s="6"/>
      <c r="FW265" s="6"/>
      <c r="FX265" s="6"/>
      <c r="FY265" s="6"/>
      <c r="FZ265" s="6"/>
      <c r="GA265" s="6"/>
      <c r="GB265" s="6"/>
      <c r="GC265" s="6"/>
      <c r="GD265" s="6"/>
      <c r="GE265" s="6"/>
      <c r="GF265" s="6"/>
      <c r="GG265" s="6"/>
      <c r="GH265" s="6"/>
      <c r="GI265" s="6"/>
      <c r="GJ265" s="6"/>
      <c r="GK265" s="6"/>
      <c r="GL265" s="6"/>
    </row>
    <row r="266" spans="1:194" x14ac:dyDescent="0.25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  <c r="AA266" s="67"/>
      <c r="AB266" s="67"/>
      <c r="AC266" s="67"/>
      <c r="AD266" s="67"/>
      <c r="AE266" s="67"/>
      <c r="AF266" s="67"/>
      <c r="AG266" s="67"/>
      <c r="AH266" s="67"/>
      <c r="AI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  <c r="BB266" s="67"/>
      <c r="BC266" s="67"/>
      <c r="BD266" s="67"/>
      <c r="BE266" s="67"/>
      <c r="BF266" s="67"/>
      <c r="BG266" s="67"/>
      <c r="BH266" s="67"/>
      <c r="BI266" s="67"/>
      <c r="BJ266" s="67"/>
      <c r="BK266" s="67"/>
      <c r="BL266" s="67"/>
      <c r="BM266" s="67"/>
      <c r="BN266" s="67"/>
      <c r="BO266" s="67"/>
      <c r="BP266" s="67"/>
      <c r="BQ266" s="67"/>
      <c r="BR266" s="67"/>
      <c r="BS266" s="67"/>
      <c r="BT266" s="67"/>
      <c r="BU266" s="67"/>
      <c r="BV266" s="67"/>
      <c r="BW266" s="67"/>
      <c r="BX266" s="67"/>
      <c r="BY266" s="67"/>
      <c r="BZ266" s="67"/>
      <c r="CA266" s="67"/>
      <c r="CB266" s="67"/>
      <c r="CC266" s="67"/>
      <c r="CD266" s="67"/>
      <c r="CE266" s="67"/>
      <c r="CF266" s="67"/>
      <c r="CG266" s="67"/>
      <c r="CH266" s="67"/>
      <c r="CI266" s="67"/>
      <c r="CJ266" s="67"/>
      <c r="CK266" s="67"/>
      <c r="CL266" s="67"/>
      <c r="CM266" s="67"/>
      <c r="CN266" s="67"/>
      <c r="CO266" s="67"/>
      <c r="CP266" s="67"/>
      <c r="CQ266" s="67"/>
      <c r="CR266" s="67"/>
      <c r="CS266" s="67"/>
      <c r="CT266" s="67"/>
      <c r="CU266" s="67"/>
      <c r="CV266" s="67"/>
      <c r="CW266" s="67"/>
      <c r="CX266" s="67"/>
      <c r="CY266" s="67"/>
      <c r="CZ266" s="67"/>
      <c r="DA266" s="67"/>
      <c r="DB266" s="67"/>
      <c r="DC266" s="67"/>
      <c r="DD266" s="67"/>
      <c r="DE266" s="67"/>
      <c r="DF266" s="67"/>
      <c r="DG266" s="67"/>
      <c r="DH266" s="67"/>
      <c r="DI266" s="67"/>
      <c r="DJ266" s="67"/>
      <c r="DK266" s="67"/>
      <c r="DL266" s="67"/>
      <c r="DM266" s="67"/>
      <c r="DN266" s="67"/>
      <c r="DO266" s="67"/>
      <c r="DP266" s="67"/>
      <c r="DQ266" s="67"/>
      <c r="DR266" s="67"/>
      <c r="DS266" s="67"/>
      <c r="DT266" s="67"/>
      <c r="DU266" s="67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  <c r="ER266" s="6"/>
      <c r="ES266" s="6"/>
      <c r="ET266" s="6"/>
      <c r="EU266" s="6"/>
      <c r="EV266" s="6"/>
      <c r="EW266" s="6"/>
      <c r="EX266" s="6"/>
      <c r="EY266" s="6"/>
      <c r="EZ266" s="6"/>
      <c r="FA266" s="6"/>
      <c r="FB266" s="6"/>
      <c r="FC266" s="6"/>
      <c r="FD266" s="6"/>
      <c r="FE266" s="6"/>
      <c r="FF266" s="6"/>
      <c r="FG266" s="6"/>
      <c r="FH266" s="6"/>
      <c r="FI266" s="6"/>
      <c r="FJ266" s="6"/>
      <c r="FK266" s="6"/>
      <c r="FL266" s="6"/>
      <c r="FM266" s="6"/>
      <c r="FN266" s="6"/>
      <c r="FO266" s="6"/>
      <c r="FP266" s="6"/>
      <c r="FQ266" s="6"/>
      <c r="FR266" s="6"/>
      <c r="FS266" s="6"/>
      <c r="FT266" s="6"/>
      <c r="FU266" s="6"/>
      <c r="FV266" s="6"/>
      <c r="FW266" s="6"/>
      <c r="FX266" s="6"/>
      <c r="FY266" s="6"/>
      <c r="FZ266" s="6"/>
      <c r="GA266" s="6"/>
      <c r="GB266" s="6"/>
      <c r="GC266" s="6"/>
      <c r="GD266" s="6"/>
      <c r="GE266" s="6"/>
      <c r="GF266" s="6"/>
      <c r="GG266" s="6"/>
      <c r="GH266" s="6"/>
      <c r="GI266" s="6"/>
      <c r="GJ266" s="6"/>
      <c r="GK266" s="6"/>
      <c r="GL266" s="6"/>
    </row>
    <row r="267" spans="1:194" x14ac:dyDescent="0.25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  <c r="AA267" s="67"/>
      <c r="AB267" s="67"/>
      <c r="AC267" s="67"/>
      <c r="AD267" s="67"/>
      <c r="AE267" s="67"/>
      <c r="AF267" s="67"/>
      <c r="AG267" s="67"/>
      <c r="AH267" s="67"/>
      <c r="AI267" s="67"/>
      <c r="AJ267" s="67"/>
      <c r="AK267" s="67"/>
      <c r="AL267" s="67"/>
      <c r="AM267" s="67"/>
      <c r="AN267" s="67"/>
      <c r="AO267" s="67"/>
      <c r="AP267" s="67"/>
      <c r="AQ267" s="67"/>
      <c r="AR267" s="67"/>
      <c r="AS267" s="67"/>
      <c r="AT267" s="67"/>
      <c r="AU267" s="67"/>
      <c r="AV267" s="67"/>
      <c r="AW267" s="67"/>
      <c r="AX267" s="67"/>
      <c r="AY267" s="67"/>
      <c r="AZ267" s="67"/>
      <c r="BA267" s="67"/>
      <c r="BB267" s="67"/>
      <c r="BC267" s="67"/>
      <c r="BD267" s="67"/>
      <c r="BE267" s="67"/>
      <c r="BF267" s="67"/>
      <c r="BG267" s="67"/>
      <c r="BH267" s="67"/>
      <c r="BI267" s="67"/>
      <c r="BJ267" s="67"/>
      <c r="BK267" s="67"/>
      <c r="BL267" s="67"/>
      <c r="BM267" s="67"/>
      <c r="BN267" s="67"/>
      <c r="BO267" s="67"/>
      <c r="BP267" s="67"/>
      <c r="BQ267" s="67"/>
      <c r="BR267" s="67"/>
      <c r="BS267" s="67"/>
      <c r="BT267" s="67"/>
      <c r="BU267" s="67"/>
      <c r="BV267" s="67"/>
      <c r="BW267" s="67"/>
      <c r="BX267" s="67"/>
      <c r="BY267" s="67"/>
      <c r="BZ267" s="67"/>
      <c r="CA267" s="67"/>
      <c r="CB267" s="67"/>
      <c r="CC267" s="67"/>
      <c r="CD267" s="67"/>
      <c r="CE267" s="67"/>
      <c r="CF267" s="67"/>
      <c r="CG267" s="67"/>
      <c r="CH267" s="67"/>
      <c r="CI267" s="67"/>
      <c r="CJ267" s="67"/>
      <c r="CK267" s="67"/>
      <c r="CL267" s="67"/>
      <c r="CM267" s="67"/>
      <c r="CN267" s="67"/>
      <c r="CO267" s="67"/>
      <c r="CP267" s="67"/>
      <c r="CQ267" s="67"/>
      <c r="CR267" s="67"/>
      <c r="CS267" s="67"/>
      <c r="CT267" s="67"/>
      <c r="CU267" s="67"/>
      <c r="CV267" s="67"/>
      <c r="CW267" s="67"/>
      <c r="CX267" s="67"/>
      <c r="CY267" s="67"/>
      <c r="CZ267" s="67"/>
      <c r="DA267" s="67"/>
      <c r="DB267" s="67"/>
      <c r="DC267" s="67"/>
      <c r="DD267" s="67"/>
      <c r="DE267" s="67"/>
      <c r="DF267" s="67"/>
      <c r="DG267" s="67"/>
      <c r="DH267" s="67"/>
      <c r="DI267" s="67"/>
      <c r="DJ267" s="67"/>
      <c r="DK267" s="67"/>
      <c r="DL267" s="67"/>
      <c r="DM267" s="67"/>
      <c r="DN267" s="67"/>
      <c r="DO267" s="67"/>
      <c r="DP267" s="67"/>
      <c r="DQ267" s="67"/>
      <c r="DR267" s="67"/>
      <c r="DS267" s="67"/>
      <c r="DT267" s="67"/>
      <c r="DU267" s="67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  <c r="ER267" s="6"/>
      <c r="ES267" s="6"/>
      <c r="ET267" s="6"/>
      <c r="EU267" s="6"/>
      <c r="EV267" s="6"/>
      <c r="EW267" s="6"/>
      <c r="EX267" s="6"/>
      <c r="EY267" s="6"/>
      <c r="EZ267" s="6"/>
      <c r="FA267" s="6"/>
      <c r="FB267" s="6"/>
      <c r="FC267" s="6"/>
      <c r="FD267" s="6"/>
      <c r="FE267" s="6"/>
      <c r="FF267" s="6"/>
      <c r="FG267" s="6"/>
      <c r="FH267" s="6"/>
      <c r="FI267" s="6"/>
      <c r="FJ267" s="6"/>
      <c r="FK267" s="6"/>
      <c r="FL267" s="6"/>
      <c r="FM267" s="6"/>
      <c r="FN267" s="6"/>
      <c r="FO267" s="6"/>
      <c r="FP267" s="6"/>
      <c r="FQ267" s="6"/>
      <c r="FR267" s="6"/>
      <c r="FS267" s="6"/>
      <c r="FT267" s="6"/>
      <c r="FU267" s="6"/>
      <c r="FV267" s="6"/>
      <c r="FW267" s="6"/>
      <c r="FX267" s="6"/>
      <c r="FY267" s="6"/>
      <c r="FZ267" s="6"/>
      <c r="GA267" s="6"/>
      <c r="GB267" s="6"/>
      <c r="GC267" s="6"/>
      <c r="GD267" s="6"/>
      <c r="GE267" s="6"/>
      <c r="GF267" s="6"/>
      <c r="GG267" s="6"/>
      <c r="GH267" s="6"/>
      <c r="GI267" s="6"/>
      <c r="GJ267" s="6"/>
      <c r="GK267" s="6"/>
      <c r="GL267" s="6"/>
    </row>
    <row r="268" spans="1:194" x14ac:dyDescent="0.25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  <c r="AA268" s="67"/>
      <c r="AB268" s="67"/>
      <c r="AC268" s="67"/>
      <c r="AD268" s="67"/>
      <c r="AE268" s="67"/>
      <c r="AF268" s="67"/>
      <c r="AG268" s="67"/>
      <c r="AH268" s="67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  <c r="BB268" s="67"/>
      <c r="BC268" s="67"/>
      <c r="BD268" s="67"/>
      <c r="BE268" s="67"/>
      <c r="BF268" s="67"/>
      <c r="BG268" s="67"/>
      <c r="BH268" s="67"/>
      <c r="BI268" s="67"/>
      <c r="BJ268" s="67"/>
      <c r="BK268" s="67"/>
      <c r="BL268" s="67"/>
      <c r="BM268" s="67"/>
      <c r="BN268" s="67"/>
      <c r="BO268" s="67"/>
      <c r="BP268" s="67"/>
      <c r="BQ268" s="67"/>
      <c r="BR268" s="67"/>
      <c r="BS268" s="67"/>
      <c r="BT268" s="67"/>
      <c r="BU268" s="67"/>
      <c r="BV268" s="67"/>
      <c r="BW268" s="67"/>
      <c r="BX268" s="67"/>
      <c r="BY268" s="67"/>
      <c r="BZ268" s="67"/>
      <c r="CA268" s="67"/>
      <c r="CB268" s="67"/>
      <c r="CC268" s="67"/>
      <c r="CD268" s="67"/>
      <c r="CE268" s="67"/>
      <c r="CF268" s="67"/>
      <c r="CG268" s="67"/>
      <c r="CH268" s="67"/>
      <c r="CI268" s="67"/>
      <c r="CJ268" s="67"/>
      <c r="CK268" s="67"/>
      <c r="CL268" s="67"/>
      <c r="CM268" s="67"/>
      <c r="CN268" s="67"/>
      <c r="CO268" s="67"/>
      <c r="CP268" s="67"/>
      <c r="CQ268" s="67"/>
      <c r="CR268" s="67"/>
      <c r="CS268" s="67"/>
      <c r="CT268" s="67"/>
      <c r="CU268" s="67"/>
      <c r="CV268" s="67"/>
      <c r="CW268" s="67"/>
      <c r="CX268" s="67"/>
      <c r="CY268" s="67"/>
      <c r="CZ268" s="67"/>
      <c r="DA268" s="67"/>
      <c r="DB268" s="67"/>
      <c r="DC268" s="67"/>
      <c r="DD268" s="67"/>
      <c r="DE268" s="67"/>
      <c r="DF268" s="67"/>
      <c r="DG268" s="67"/>
      <c r="DH268" s="67"/>
      <c r="DI268" s="67"/>
      <c r="DJ268" s="67"/>
      <c r="DK268" s="67"/>
      <c r="DL268" s="67"/>
      <c r="DM268" s="67"/>
      <c r="DN268" s="67"/>
      <c r="DO268" s="67"/>
      <c r="DP268" s="67"/>
      <c r="DQ268" s="67"/>
      <c r="DR268" s="67"/>
      <c r="DS268" s="67"/>
      <c r="DT268" s="67"/>
      <c r="DU268" s="67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  <c r="ER268" s="6"/>
      <c r="ES268" s="6"/>
      <c r="ET268" s="6"/>
      <c r="EU268" s="6"/>
      <c r="EV268" s="6"/>
      <c r="EW268" s="6"/>
      <c r="EX268" s="6"/>
      <c r="EY268" s="6"/>
      <c r="EZ268" s="6"/>
      <c r="FA268" s="6"/>
      <c r="FB268" s="6"/>
      <c r="FC268" s="6"/>
      <c r="FD268" s="6"/>
      <c r="FE268" s="6"/>
      <c r="FF268" s="6"/>
      <c r="FG268" s="6"/>
      <c r="FH268" s="6"/>
      <c r="FI268" s="6"/>
      <c r="FJ268" s="6"/>
      <c r="FK268" s="6"/>
      <c r="FL268" s="6"/>
      <c r="FM268" s="6"/>
      <c r="FN268" s="6"/>
      <c r="FO268" s="6"/>
      <c r="FP268" s="6"/>
      <c r="FQ268" s="6"/>
      <c r="FR268" s="6"/>
      <c r="FS268" s="6"/>
      <c r="FT268" s="6"/>
      <c r="FU268" s="6"/>
      <c r="FV268" s="6"/>
      <c r="FW268" s="6"/>
      <c r="FX268" s="6"/>
      <c r="FY268" s="6"/>
      <c r="FZ268" s="6"/>
      <c r="GA268" s="6"/>
      <c r="GB268" s="6"/>
      <c r="GC268" s="6"/>
      <c r="GD268" s="6"/>
      <c r="GE268" s="6"/>
      <c r="GF268" s="6"/>
      <c r="GG268" s="6"/>
      <c r="GH268" s="6"/>
      <c r="GI268" s="6"/>
      <c r="GJ268" s="6"/>
      <c r="GK268" s="6"/>
      <c r="GL268" s="6"/>
    </row>
    <row r="269" spans="1:194" x14ac:dyDescent="0.25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  <c r="AF269" s="67"/>
      <c r="AG269" s="67"/>
      <c r="AH269" s="67"/>
      <c r="AI269" s="67"/>
      <c r="AJ269" s="67"/>
      <c r="AK269" s="67"/>
      <c r="AL269" s="67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  <c r="BI269" s="67"/>
      <c r="BJ269" s="67"/>
      <c r="BK269" s="67"/>
      <c r="BL269" s="67"/>
      <c r="BM269" s="67"/>
      <c r="BN269" s="67"/>
      <c r="BO269" s="67"/>
      <c r="BP269" s="67"/>
      <c r="BQ269" s="67"/>
      <c r="BR269" s="67"/>
      <c r="BS269" s="67"/>
      <c r="BT269" s="67"/>
      <c r="BU269" s="67"/>
      <c r="BV269" s="67"/>
      <c r="BW269" s="67"/>
      <c r="BX269" s="67"/>
      <c r="BY269" s="67"/>
      <c r="BZ269" s="67"/>
      <c r="CA269" s="67"/>
      <c r="CB269" s="67"/>
      <c r="CC269" s="67"/>
      <c r="CD269" s="67"/>
      <c r="CE269" s="67"/>
      <c r="CF269" s="67"/>
      <c r="CG269" s="67"/>
      <c r="CH269" s="67"/>
      <c r="CI269" s="67"/>
      <c r="CJ269" s="67"/>
      <c r="CK269" s="67"/>
      <c r="CL269" s="67"/>
      <c r="CM269" s="67"/>
      <c r="CN269" s="67"/>
      <c r="CO269" s="67"/>
      <c r="CP269" s="67"/>
      <c r="CQ269" s="67"/>
      <c r="CR269" s="67"/>
      <c r="CS269" s="67"/>
      <c r="CT269" s="67"/>
      <c r="CU269" s="67"/>
      <c r="CV269" s="67"/>
      <c r="CW269" s="67"/>
      <c r="CX269" s="67"/>
      <c r="CY269" s="67"/>
      <c r="CZ269" s="67"/>
      <c r="DA269" s="67"/>
      <c r="DB269" s="67"/>
      <c r="DC269" s="67"/>
      <c r="DD269" s="67"/>
      <c r="DE269" s="67"/>
      <c r="DF269" s="67"/>
      <c r="DG269" s="67"/>
      <c r="DH269" s="67"/>
      <c r="DI269" s="67"/>
      <c r="DJ269" s="67"/>
      <c r="DK269" s="67"/>
      <c r="DL269" s="67"/>
      <c r="DM269" s="67"/>
      <c r="DN269" s="67"/>
      <c r="DO269" s="67"/>
      <c r="DP269" s="67"/>
      <c r="DQ269" s="67"/>
      <c r="DR269" s="67"/>
      <c r="DS269" s="67"/>
      <c r="DT269" s="67"/>
      <c r="DU269" s="67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  <c r="ER269" s="6"/>
      <c r="ES269" s="6"/>
      <c r="ET269" s="6"/>
      <c r="EU269" s="6"/>
      <c r="EV269" s="6"/>
      <c r="EW269" s="6"/>
      <c r="EX269" s="6"/>
      <c r="EY269" s="6"/>
      <c r="EZ269" s="6"/>
      <c r="FA269" s="6"/>
      <c r="FB269" s="6"/>
      <c r="FC269" s="6"/>
      <c r="FD269" s="6"/>
      <c r="FE269" s="6"/>
      <c r="FF269" s="6"/>
      <c r="FG269" s="6"/>
      <c r="FH269" s="6"/>
      <c r="FI269" s="6"/>
      <c r="FJ269" s="6"/>
      <c r="FK269" s="6"/>
      <c r="FL269" s="6"/>
      <c r="FM269" s="6"/>
      <c r="FN269" s="6"/>
      <c r="FO269" s="6"/>
      <c r="FP269" s="6"/>
      <c r="FQ269" s="6"/>
      <c r="FR269" s="6"/>
      <c r="FS269" s="6"/>
      <c r="FT269" s="6"/>
      <c r="FU269" s="6"/>
      <c r="FV269" s="6"/>
      <c r="FW269" s="6"/>
      <c r="FX269" s="6"/>
      <c r="FY269" s="6"/>
      <c r="FZ269" s="6"/>
      <c r="GA269" s="6"/>
      <c r="GB269" s="6"/>
      <c r="GC269" s="6"/>
      <c r="GD269" s="6"/>
      <c r="GE269" s="6"/>
      <c r="GF269" s="6"/>
      <c r="GG269" s="6"/>
      <c r="GH269" s="6"/>
      <c r="GI269" s="6"/>
      <c r="GJ269" s="6"/>
      <c r="GK269" s="6"/>
      <c r="GL269" s="6"/>
    </row>
    <row r="270" spans="1:194" x14ac:dyDescent="0.25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  <c r="AA270" s="67"/>
      <c r="AB270" s="67"/>
      <c r="AC270" s="67"/>
      <c r="AD270" s="67"/>
      <c r="AE270" s="67"/>
      <c r="AF270" s="67"/>
      <c r="AG270" s="67"/>
      <c r="AH270" s="67"/>
      <c r="AI270" s="67"/>
      <c r="AJ270" s="67"/>
      <c r="AK270" s="67"/>
      <c r="AL270" s="67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  <c r="BB270" s="67"/>
      <c r="BC270" s="67"/>
      <c r="BD270" s="67"/>
      <c r="BE270" s="67"/>
      <c r="BF270" s="67"/>
      <c r="BG270" s="67"/>
      <c r="BH270" s="67"/>
      <c r="BI270" s="67"/>
      <c r="BJ270" s="67"/>
      <c r="BK270" s="67"/>
      <c r="BL270" s="67"/>
      <c r="BM270" s="67"/>
      <c r="BN270" s="67"/>
      <c r="BO270" s="67"/>
      <c r="BP270" s="67"/>
      <c r="BQ270" s="67"/>
      <c r="BR270" s="67"/>
      <c r="BS270" s="67"/>
      <c r="BT270" s="67"/>
      <c r="BU270" s="67"/>
      <c r="BV270" s="67"/>
      <c r="BW270" s="67"/>
      <c r="BX270" s="67"/>
      <c r="BY270" s="67"/>
      <c r="BZ270" s="67"/>
      <c r="CA270" s="67"/>
      <c r="CB270" s="67"/>
      <c r="CC270" s="67"/>
      <c r="CD270" s="67"/>
      <c r="CE270" s="67"/>
      <c r="CF270" s="67"/>
      <c r="CG270" s="67"/>
      <c r="CH270" s="67"/>
      <c r="CI270" s="67"/>
      <c r="CJ270" s="67"/>
      <c r="CK270" s="67"/>
      <c r="CL270" s="67"/>
      <c r="CM270" s="67"/>
      <c r="CN270" s="67"/>
      <c r="CO270" s="67"/>
      <c r="CP270" s="67"/>
      <c r="CQ270" s="67"/>
      <c r="CR270" s="67"/>
      <c r="CS270" s="67"/>
      <c r="CT270" s="67"/>
      <c r="CU270" s="67"/>
      <c r="CV270" s="67"/>
      <c r="CW270" s="67"/>
      <c r="CX270" s="67"/>
      <c r="CY270" s="67"/>
      <c r="CZ270" s="67"/>
      <c r="DA270" s="67"/>
      <c r="DB270" s="67"/>
      <c r="DC270" s="67"/>
      <c r="DD270" s="67"/>
      <c r="DE270" s="67"/>
      <c r="DF270" s="67"/>
      <c r="DG270" s="67"/>
      <c r="DH270" s="67"/>
      <c r="DI270" s="67"/>
      <c r="DJ270" s="67"/>
      <c r="DK270" s="67"/>
      <c r="DL270" s="67"/>
      <c r="DM270" s="67"/>
      <c r="DN270" s="67"/>
      <c r="DO270" s="67"/>
      <c r="DP270" s="67"/>
      <c r="DQ270" s="67"/>
      <c r="DR270" s="67"/>
      <c r="DS270" s="67"/>
      <c r="DT270" s="67"/>
      <c r="DU270" s="67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  <c r="ER270" s="6"/>
      <c r="ES270" s="6"/>
      <c r="ET270" s="6"/>
      <c r="EU270" s="6"/>
      <c r="EV270" s="6"/>
      <c r="EW270" s="6"/>
      <c r="EX270" s="6"/>
      <c r="EY270" s="6"/>
      <c r="EZ270" s="6"/>
      <c r="FA270" s="6"/>
      <c r="FB270" s="6"/>
      <c r="FC270" s="6"/>
      <c r="FD270" s="6"/>
      <c r="FE270" s="6"/>
      <c r="FF270" s="6"/>
      <c r="FG270" s="6"/>
      <c r="FH270" s="6"/>
      <c r="FI270" s="6"/>
      <c r="FJ270" s="6"/>
      <c r="FK270" s="6"/>
      <c r="FL270" s="6"/>
      <c r="FM270" s="6"/>
      <c r="FN270" s="6"/>
      <c r="FO270" s="6"/>
      <c r="FP270" s="6"/>
      <c r="FQ270" s="6"/>
      <c r="FR270" s="6"/>
      <c r="FS270" s="6"/>
      <c r="FT270" s="6"/>
      <c r="FU270" s="6"/>
      <c r="FV270" s="6"/>
      <c r="FW270" s="6"/>
      <c r="FX270" s="6"/>
      <c r="FY270" s="6"/>
      <c r="FZ270" s="6"/>
      <c r="GA270" s="6"/>
      <c r="GB270" s="6"/>
      <c r="GC270" s="6"/>
      <c r="GD270" s="6"/>
      <c r="GE270" s="6"/>
      <c r="GF270" s="6"/>
      <c r="GG270" s="6"/>
      <c r="GH270" s="6"/>
      <c r="GI270" s="6"/>
      <c r="GJ270" s="6"/>
      <c r="GK270" s="6"/>
      <c r="GL270" s="6"/>
    </row>
    <row r="271" spans="1:194" x14ac:dyDescent="0.25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  <c r="AA271" s="67"/>
      <c r="AB271" s="67"/>
      <c r="AC271" s="67"/>
      <c r="AD271" s="67"/>
      <c r="AE271" s="67"/>
      <c r="AF271" s="67"/>
      <c r="AG271" s="67"/>
      <c r="AH271" s="67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  <c r="BB271" s="67"/>
      <c r="BC271" s="67"/>
      <c r="BD271" s="67"/>
      <c r="BE271" s="67"/>
      <c r="BF271" s="67"/>
      <c r="BG271" s="67"/>
      <c r="BH271" s="67"/>
      <c r="BI271" s="67"/>
      <c r="BJ271" s="67"/>
      <c r="BK271" s="67"/>
      <c r="BL271" s="67"/>
      <c r="BM271" s="67"/>
      <c r="BN271" s="67"/>
      <c r="BO271" s="67"/>
      <c r="BP271" s="67"/>
      <c r="BQ271" s="67"/>
      <c r="BR271" s="67"/>
      <c r="BS271" s="67"/>
      <c r="BT271" s="67"/>
      <c r="BU271" s="67"/>
      <c r="BV271" s="67"/>
      <c r="BW271" s="67"/>
      <c r="BX271" s="67"/>
      <c r="BY271" s="67"/>
      <c r="BZ271" s="67"/>
      <c r="CA271" s="67"/>
      <c r="CB271" s="67"/>
      <c r="CC271" s="67"/>
      <c r="CD271" s="67"/>
      <c r="CE271" s="67"/>
      <c r="CF271" s="67"/>
      <c r="CG271" s="67"/>
      <c r="CH271" s="67"/>
      <c r="CI271" s="67"/>
      <c r="CJ271" s="67"/>
      <c r="CK271" s="67"/>
      <c r="CL271" s="67"/>
      <c r="CM271" s="67"/>
      <c r="CN271" s="67"/>
      <c r="CO271" s="67"/>
      <c r="CP271" s="67"/>
      <c r="CQ271" s="67"/>
      <c r="CR271" s="67"/>
      <c r="CS271" s="67"/>
      <c r="CT271" s="67"/>
      <c r="CU271" s="67"/>
      <c r="CV271" s="67"/>
      <c r="CW271" s="67"/>
      <c r="CX271" s="67"/>
      <c r="CY271" s="67"/>
      <c r="CZ271" s="67"/>
      <c r="DA271" s="67"/>
      <c r="DB271" s="67"/>
      <c r="DC271" s="67"/>
      <c r="DD271" s="67"/>
      <c r="DE271" s="67"/>
      <c r="DF271" s="67"/>
      <c r="DG271" s="67"/>
      <c r="DH271" s="67"/>
      <c r="DI271" s="67"/>
      <c r="DJ271" s="67"/>
      <c r="DK271" s="67"/>
      <c r="DL271" s="67"/>
      <c r="DM271" s="67"/>
      <c r="DN271" s="67"/>
      <c r="DO271" s="67"/>
      <c r="DP271" s="67"/>
      <c r="DQ271" s="67"/>
      <c r="DR271" s="67"/>
      <c r="DS271" s="67"/>
      <c r="DT271" s="67"/>
      <c r="DU271" s="67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  <c r="ER271" s="6"/>
      <c r="ES271" s="6"/>
      <c r="ET271" s="6"/>
      <c r="EU271" s="6"/>
      <c r="EV271" s="6"/>
      <c r="EW271" s="6"/>
      <c r="EX271" s="6"/>
      <c r="EY271" s="6"/>
      <c r="EZ271" s="6"/>
      <c r="FA271" s="6"/>
      <c r="FB271" s="6"/>
      <c r="FC271" s="6"/>
      <c r="FD271" s="6"/>
      <c r="FE271" s="6"/>
      <c r="FF271" s="6"/>
      <c r="FG271" s="6"/>
      <c r="FH271" s="6"/>
      <c r="FI271" s="6"/>
      <c r="FJ271" s="6"/>
      <c r="FK271" s="6"/>
      <c r="FL271" s="6"/>
      <c r="FM271" s="6"/>
      <c r="FN271" s="6"/>
      <c r="FO271" s="6"/>
      <c r="FP271" s="6"/>
      <c r="FQ271" s="6"/>
      <c r="FR271" s="6"/>
      <c r="FS271" s="6"/>
      <c r="FT271" s="6"/>
      <c r="FU271" s="6"/>
      <c r="FV271" s="6"/>
      <c r="FW271" s="6"/>
      <c r="FX271" s="6"/>
      <c r="FY271" s="6"/>
      <c r="FZ271" s="6"/>
      <c r="GA271" s="6"/>
      <c r="GB271" s="6"/>
      <c r="GC271" s="6"/>
      <c r="GD271" s="6"/>
      <c r="GE271" s="6"/>
      <c r="GF271" s="6"/>
      <c r="GG271" s="6"/>
      <c r="GH271" s="6"/>
      <c r="GI271" s="6"/>
      <c r="GJ271" s="6"/>
      <c r="GK271" s="6"/>
      <c r="GL271" s="6"/>
    </row>
    <row r="272" spans="1:194" x14ac:dyDescent="0.25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  <c r="AE272" s="67"/>
      <c r="AF272" s="67"/>
      <c r="AG272" s="67"/>
      <c r="AH272" s="67"/>
      <c r="AI272" s="67"/>
      <c r="AJ272" s="67"/>
      <c r="AK272" s="67"/>
      <c r="AL272" s="67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  <c r="BB272" s="67"/>
      <c r="BC272" s="67"/>
      <c r="BD272" s="67"/>
      <c r="BE272" s="67"/>
      <c r="BF272" s="67"/>
      <c r="BG272" s="67"/>
      <c r="BH272" s="67"/>
      <c r="BI272" s="67"/>
      <c r="BJ272" s="67"/>
      <c r="BK272" s="67"/>
      <c r="BL272" s="67"/>
      <c r="BM272" s="67"/>
      <c r="BN272" s="67"/>
      <c r="BO272" s="67"/>
      <c r="BP272" s="67"/>
      <c r="BQ272" s="67"/>
      <c r="BR272" s="67"/>
      <c r="BS272" s="67"/>
      <c r="BT272" s="67"/>
      <c r="BU272" s="67"/>
      <c r="BV272" s="67"/>
      <c r="BW272" s="67"/>
      <c r="BX272" s="67"/>
      <c r="BY272" s="67"/>
      <c r="BZ272" s="67"/>
      <c r="CA272" s="67"/>
      <c r="CB272" s="67"/>
      <c r="CC272" s="67"/>
      <c r="CD272" s="67"/>
      <c r="CE272" s="67"/>
      <c r="CF272" s="67"/>
      <c r="CG272" s="67"/>
      <c r="CH272" s="67"/>
      <c r="CI272" s="67"/>
      <c r="CJ272" s="67"/>
      <c r="CK272" s="67"/>
      <c r="CL272" s="67"/>
      <c r="CM272" s="67"/>
      <c r="CN272" s="67"/>
      <c r="CO272" s="67"/>
      <c r="CP272" s="67"/>
      <c r="CQ272" s="67"/>
      <c r="CR272" s="67"/>
      <c r="CS272" s="67"/>
      <c r="CT272" s="67"/>
      <c r="CU272" s="67"/>
      <c r="CV272" s="67"/>
      <c r="CW272" s="67"/>
      <c r="CX272" s="67"/>
      <c r="CY272" s="67"/>
      <c r="CZ272" s="67"/>
      <c r="DA272" s="67"/>
      <c r="DB272" s="67"/>
      <c r="DC272" s="67"/>
      <c r="DD272" s="67"/>
      <c r="DE272" s="67"/>
      <c r="DF272" s="67"/>
      <c r="DG272" s="67"/>
      <c r="DH272" s="67"/>
      <c r="DI272" s="67"/>
      <c r="DJ272" s="67"/>
      <c r="DK272" s="67"/>
      <c r="DL272" s="67"/>
      <c r="DM272" s="67"/>
      <c r="DN272" s="67"/>
      <c r="DO272" s="67"/>
      <c r="DP272" s="67"/>
      <c r="DQ272" s="67"/>
      <c r="DR272" s="67"/>
      <c r="DS272" s="67"/>
      <c r="DT272" s="67"/>
      <c r="DU272" s="67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  <c r="ER272" s="6"/>
      <c r="ES272" s="6"/>
      <c r="ET272" s="6"/>
      <c r="EU272" s="6"/>
      <c r="EV272" s="6"/>
      <c r="EW272" s="6"/>
      <c r="EX272" s="6"/>
      <c r="EY272" s="6"/>
      <c r="EZ272" s="6"/>
      <c r="FA272" s="6"/>
      <c r="FB272" s="6"/>
      <c r="FC272" s="6"/>
      <c r="FD272" s="6"/>
      <c r="FE272" s="6"/>
      <c r="FF272" s="6"/>
      <c r="FG272" s="6"/>
      <c r="FH272" s="6"/>
      <c r="FI272" s="6"/>
      <c r="FJ272" s="6"/>
      <c r="FK272" s="6"/>
      <c r="FL272" s="6"/>
      <c r="FM272" s="6"/>
      <c r="FN272" s="6"/>
      <c r="FO272" s="6"/>
      <c r="FP272" s="6"/>
      <c r="FQ272" s="6"/>
      <c r="FR272" s="6"/>
      <c r="FS272" s="6"/>
      <c r="FT272" s="6"/>
      <c r="FU272" s="6"/>
      <c r="FV272" s="6"/>
      <c r="FW272" s="6"/>
      <c r="FX272" s="6"/>
      <c r="FY272" s="6"/>
      <c r="FZ272" s="6"/>
      <c r="GA272" s="6"/>
      <c r="GB272" s="6"/>
      <c r="GC272" s="6"/>
      <c r="GD272" s="6"/>
      <c r="GE272" s="6"/>
      <c r="GF272" s="6"/>
      <c r="GG272" s="6"/>
      <c r="GH272" s="6"/>
      <c r="GI272" s="6"/>
      <c r="GJ272" s="6"/>
      <c r="GK272" s="6"/>
      <c r="GL272" s="6"/>
    </row>
    <row r="273" spans="1:194" x14ac:dyDescent="0.25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  <c r="AF273" s="67"/>
      <c r="AG273" s="67"/>
      <c r="AH273" s="67"/>
      <c r="AI273" s="67"/>
      <c r="AJ273" s="67"/>
      <c r="AK273" s="67"/>
      <c r="AL273" s="67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  <c r="BB273" s="67"/>
      <c r="BC273" s="67"/>
      <c r="BD273" s="67"/>
      <c r="BE273" s="67"/>
      <c r="BF273" s="67"/>
      <c r="BG273" s="67"/>
      <c r="BH273" s="67"/>
      <c r="BI273" s="67"/>
      <c r="BJ273" s="67"/>
      <c r="BK273" s="67"/>
      <c r="BL273" s="67"/>
      <c r="BM273" s="67"/>
      <c r="BN273" s="67"/>
      <c r="BO273" s="67"/>
      <c r="BP273" s="67"/>
      <c r="BQ273" s="67"/>
      <c r="BR273" s="67"/>
      <c r="BS273" s="67"/>
      <c r="BT273" s="67"/>
      <c r="BU273" s="67"/>
      <c r="BV273" s="67"/>
      <c r="BW273" s="67"/>
      <c r="BX273" s="67"/>
      <c r="BY273" s="67"/>
      <c r="BZ273" s="67"/>
      <c r="CA273" s="67"/>
      <c r="CB273" s="67"/>
      <c r="CC273" s="67"/>
      <c r="CD273" s="67"/>
      <c r="CE273" s="67"/>
      <c r="CF273" s="67"/>
      <c r="CG273" s="67"/>
      <c r="CH273" s="67"/>
      <c r="CI273" s="67"/>
      <c r="CJ273" s="67"/>
      <c r="CK273" s="67"/>
      <c r="CL273" s="67"/>
      <c r="CM273" s="67"/>
      <c r="CN273" s="67"/>
      <c r="CO273" s="67"/>
      <c r="CP273" s="67"/>
      <c r="CQ273" s="67"/>
      <c r="CR273" s="67"/>
      <c r="CS273" s="67"/>
      <c r="CT273" s="67"/>
      <c r="CU273" s="67"/>
      <c r="CV273" s="67"/>
      <c r="CW273" s="67"/>
      <c r="CX273" s="67"/>
      <c r="CY273" s="67"/>
      <c r="CZ273" s="67"/>
      <c r="DA273" s="67"/>
      <c r="DB273" s="67"/>
      <c r="DC273" s="67"/>
      <c r="DD273" s="67"/>
      <c r="DE273" s="67"/>
      <c r="DF273" s="67"/>
      <c r="DG273" s="67"/>
      <c r="DH273" s="67"/>
      <c r="DI273" s="67"/>
      <c r="DJ273" s="67"/>
      <c r="DK273" s="67"/>
      <c r="DL273" s="67"/>
      <c r="DM273" s="67"/>
      <c r="DN273" s="67"/>
      <c r="DO273" s="67"/>
      <c r="DP273" s="67"/>
      <c r="DQ273" s="67"/>
      <c r="DR273" s="67"/>
      <c r="DS273" s="67"/>
      <c r="DT273" s="67"/>
      <c r="DU273" s="67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  <c r="ER273" s="6"/>
      <c r="ES273" s="6"/>
      <c r="ET273" s="6"/>
      <c r="EU273" s="6"/>
      <c r="EV273" s="6"/>
      <c r="EW273" s="6"/>
      <c r="EX273" s="6"/>
      <c r="EY273" s="6"/>
      <c r="EZ273" s="6"/>
      <c r="FA273" s="6"/>
      <c r="FB273" s="6"/>
      <c r="FC273" s="6"/>
      <c r="FD273" s="6"/>
      <c r="FE273" s="6"/>
      <c r="FF273" s="6"/>
      <c r="FG273" s="6"/>
      <c r="FH273" s="6"/>
      <c r="FI273" s="6"/>
      <c r="FJ273" s="6"/>
      <c r="FK273" s="6"/>
      <c r="FL273" s="6"/>
      <c r="FM273" s="6"/>
      <c r="FN273" s="6"/>
      <c r="FO273" s="6"/>
      <c r="FP273" s="6"/>
      <c r="FQ273" s="6"/>
      <c r="FR273" s="6"/>
      <c r="FS273" s="6"/>
      <c r="FT273" s="6"/>
      <c r="FU273" s="6"/>
      <c r="FV273" s="6"/>
      <c r="FW273" s="6"/>
      <c r="FX273" s="6"/>
      <c r="FY273" s="6"/>
      <c r="FZ273" s="6"/>
      <c r="GA273" s="6"/>
      <c r="GB273" s="6"/>
      <c r="GC273" s="6"/>
      <c r="GD273" s="6"/>
      <c r="GE273" s="6"/>
      <c r="GF273" s="6"/>
      <c r="GG273" s="6"/>
      <c r="GH273" s="6"/>
      <c r="GI273" s="6"/>
      <c r="GJ273" s="6"/>
      <c r="GK273" s="6"/>
      <c r="GL273" s="6"/>
    </row>
    <row r="274" spans="1:194" x14ac:dyDescent="0.25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  <c r="AA274" s="67"/>
      <c r="AB274" s="67"/>
      <c r="AC274" s="67"/>
      <c r="AD274" s="67"/>
      <c r="AE274" s="67"/>
      <c r="AF274" s="67"/>
      <c r="AG274" s="67"/>
      <c r="AH274" s="67"/>
      <c r="AI274" s="67"/>
      <c r="AJ274" s="67"/>
      <c r="AK274" s="67"/>
      <c r="AL274" s="67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  <c r="BB274" s="67"/>
      <c r="BC274" s="67"/>
      <c r="BD274" s="67"/>
      <c r="BE274" s="67"/>
      <c r="BF274" s="67"/>
      <c r="BG274" s="67"/>
      <c r="BH274" s="67"/>
      <c r="BI274" s="67"/>
      <c r="BJ274" s="67"/>
      <c r="BK274" s="67"/>
      <c r="BL274" s="67"/>
      <c r="BM274" s="67"/>
      <c r="BN274" s="67"/>
      <c r="BO274" s="67"/>
      <c r="BP274" s="67"/>
      <c r="BQ274" s="67"/>
      <c r="BR274" s="67"/>
      <c r="BS274" s="67"/>
      <c r="BT274" s="67"/>
      <c r="BU274" s="67"/>
      <c r="BV274" s="67"/>
      <c r="BW274" s="67"/>
      <c r="BX274" s="67"/>
      <c r="BY274" s="67"/>
      <c r="BZ274" s="67"/>
      <c r="CA274" s="67"/>
      <c r="CB274" s="67"/>
      <c r="CC274" s="67"/>
      <c r="CD274" s="67"/>
      <c r="CE274" s="67"/>
      <c r="CF274" s="67"/>
      <c r="CG274" s="67"/>
      <c r="CH274" s="67"/>
      <c r="CI274" s="67"/>
      <c r="CJ274" s="67"/>
      <c r="CK274" s="67"/>
      <c r="CL274" s="67"/>
      <c r="CM274" s="67"/>
      <c r="CN274" s="67"/>
      <c r="CO274" s="67"/>
      <c r="CP274" s="67"/>
      <c r="CQ274" s="67"/>
      <c r="CR274" s="67"/>
      <c r="CS274" s="67"/>
      <c r="CT274" s="67"/>
      <c r="CU274" s="67"/>
      <c r="CV274" s="67"/>
      <c r="CW274" s="67"/>
      <c r="CX274" s="67"/>
      <c r="CY274" s="67"/>
      <c r="CZ274" s="67"/>
      <c r="DA274" s="67"/>
      <c r="DB274" s="67"/>
      <c r="DC274" s="67"/>
      <c r="DD274" s="67"/>
      <c r="DE274" s="67"/>
      <c r="DF274" s="67"/>
      <c r="DG274" s="67"/>
      <c r="DH274" s="67"/>
      <c r="DI274" s="67"/>
      <c r="DJ274" s="67"/>
      <c r="DK274" s="67"/>
      <c r="DL274" s="67"/>
      <c r="DM274" s="67"/>
      <c r="DN274" s="67"/>
      <c r="DO274" s="67"/>
      <c r="DP274" s="67"/>
      <c r="DQ274" s="67"/>
      <c r="DR274" s="67"/>
      <c r="DS274" s="67"/>
      <c r="DT274" s="67"/>
      <c r="DU274" s="67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  <c r="ER274" s="6"/>
      <c r="ES274" s="6"/>
      <c r="ET274" s="6"/>
      <c r="EU274" s="6"/>
      <c r="EV274" s="6"/>
      <c r="EW274" s="6"/>
      <c r="EX274" s="6"/>
      <c r="EY274" s="6"/>
      <c r="EZ274" s="6"/>
      <c r="FA274" s="6"/>
      <c r="FB274" s="6"/>
      <c r="FC274" s="6"/>
      <c r="FD274" s="6"/>
      <c r="FE274" s="6"/>
      <c r="FF274" s="6"/>
      <c r="FG274" s="6"/>
      <c r="FH274" s="6"/>
      <c r="FI274" s="6"/>
      <c r="FJ274" s="6"/>
      <c r="FK274" s="6"/>
      <c r="FL274" s="6"/>
      <c r="FM274" s="6"/>
      <c r="FN274" s="6"/>
      <c r="FO274" s="6"/>
      <c r="FP274" s="6"/>
      <c r="FQ274" s="6"/>
      <c r="FR274" s="6"/>
      <c r="FS274" s="6"/>
      <c r="FT274" s="6"/>
      <c r="FU274" s="6"/>
      <c r="FV274" s="6"/>
      <c r="FW274" s="6"/>
      <c r="FX274" s="6"/>
      <c r="FY274" s="6"/>
      <c r="FZ274" s="6"/>
      <c r="GA274" s="6"/>
      <c r="GB274" s="6"/>
      <c r="GC274" s="6"/>
      <c r="GD274" s="6"/>
      <c r="GE274" s="6"/>
      <c r="GF274" s="6"/>
      <c r="GG274" s="6"/>
      <c r="GH274" s="6"/>
      <c r="GI274" s="6"/>
      <c r="GJ274" s="6"/>
      <c r="GK274" s="6"/>
      <c r="GL274" s="6"/>
    </row>
    <row r="275" spans="1:194" x14ac:dyDescent="0.25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  <c r="AA275" s="67"/>
      <c r="AB275" s="67"/>
      <c r="AC275" s="67"/>
      <c r="AD275" s="67"/>
      <c r="AE275" s="67"/>
      <c r="AF275" s="67"/>
      <c r="AG275" s="67"/>
      <c r="AH275" s="67"/>
      <c r="AI275" s="67"/>
      <c r="AJ275" s="67"/>
      <c r="AK275" s="67"/>
      <c r="AL275" s="67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  <c r="BB275" s="67"/>
      <c r="BC275" s="67"/>
      <c r="BD275" s="67"/>
      <c r="BE275" s="67"/>
      <c r="BF275" s="67"/>
      <c r="BG275" s="67"/>
      <c r="BH275" s="67"/>
      <c r="BI275" s="67"/>
      <c r="BJ275" s="67"/>
      <c r="BK275" s="67"/>
      <c r="BL275" s="67"/>
      <c r="BM275" s="67"/>
      <c r="BN275" s="67"/>
      <c r="BO275" s="67"/>
      <c r="BP275" s="67"/>
      <c r="BQ275" s="67"/>
      <c r="BR275" s="67"/>
      <c r="BS275" s="67"/>
      <c r="BT275" s="67"/>
      <c r="BU275" s="67"/>
      <c r="BV275" s="67"/>
      <c r="BW275" s="67"/>
      <c r="BX275" s="67"/>
      <c r="BY275" s="67"/>
      <c r="BZ275" s="67"/>
      <c r="CA275" s="67"/>
      <c r="CB275" s="67"/>
      <c r="CC275" s="67"/>
      <c r="CD275" s="67"/>
      <c r="CE275" s="67"/>
      <c r="CF275" s="67"/>
      <c r="CG275" s="67"/>
      <c r="CH275" s="67"/>
      <c r="CI275" s="67"/>
      <c r="CJ275" s="67"/>
      <c r="CK275" s="67"/>
      <c r="CL275" s="67"/>
      <c r="CM275" s="67"/>
      <c r="CN275" s="67"/>
      <c r="CO275" s="67"/>
      <c r="CP275" s="67"/>
      <c r="CQ275" s="67"/>
      <c r="CR275" s="67"/>
      <c r="CS275" s="67"/>
      <c r="CT275" s="67"/>
      <c r="CU275" s="67"/>
      <c r="CV275" s="67"/>
      <c r="CW275" s="67"/>
      <c r="CX275" s="67"/>
      <c r="CY275" s="67"/>
      <c r="CZ275" s="67"/>
      <c r="DA275" s="67"/>
      <c r="DB275" s="67"/>
      <c r="DC275" s="67"/>
      <c r="DD275" s="67"/>
      <c r="DE275" s="67"/>
      <c r="DF275" s="67"/>
      <c r="DG275" s="67"/>
      <c r="DH275" s="67"/>
      <c r="DI275" s="67"/>
      <c r="DJ275" s="67"/>
      <c r="DK275" s="67"/>
      <c r="DL275" s="67"/>
      <c r="DM275" s="67"/>
      <c r="DN275" s="67"/>
      <c r="DO275" s="67"/>
      <c r="DP275" s="67"/>
      <c r="DQ275" s="67"/>
      <c r="DR275" s="67"/>
      <c r="DS275" s="67"/>
      <c r="DT275" s="67"/>
      <c r="DU275" s="67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  <c r="ER275" s="6"/>
      <c r="ES275" s="6"/>
      <c r="ET275" s="6"/>
      <c r="EU275" s="6"/>
      <c r="EV275" s="6"/>
      <c r="EW275" s="6"/>
      <c r="EX275" s="6"/>
      <c r="EY275" s="6"/>
      <c r="EZ275" s="6"/>
      <c r="FA275" s="6"/>
      <c r="FB275" s="6"/>
      <c r="FC275" s="6"/>
      <c r="FD275" s="6"/>
      <c r="FE275" s="6"/>
      <c r="FF275" s="6"/>
      <c r="FG275" s="6"/>
      <c r="FH275" s="6"/>
      <c r="FI275" s="6"/>
      <c r="FJ275" s="6"/>
      <c r="FK275" s="6"/>
      <c r="FL275" s="6"/>
      <c r="FM275" s="6"/>
      <c r="FN275" s="6"/>
      <c r="FO275" s="6"/>
      <c r="FP275" s="6"/>
      <c r="FQ275" s="6"/>
      <c r="FR275" s="6"/>
      <c r="FS275" s="6"/>
      <c r="FT275" s="6"/>
      <c r="FU275" s="6"/>
      <c r="FV275" s="6"/>
      <c r="FW275" s="6"/>
      <c r="FX275" s="6"/>
      <c r="FY275" s="6"/>
      <c r="FZ275" s="6"/>
      <c r="GA275" s="6"/>
      <c r="GB275" s="6"/>
      <c r="GC275" s="6"/>
      <c r="GD275" s="6"/>
      <c r="GE275" s="6"/>
      <c r="GF275" s="6"/>
      <c r="GG275" s="6"/>
      <c r="GH275" s="6"/>
      <c r="GI275" s="6"/>
      <c r="GJ275" s="6"/>
      <c r="GK275" s="6"/>
      <c r="GL275" s="6"/>
    </row>
    <row r="276" spans="1:194" x14ac:dyDescent="0.25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  <c r="AA276" s="67"/>
      <c r="AB276" s="67"/>
      <c r="AC276" s="67"/>
      <c r="AD276" s="67"/>
      <c r="AE276" s="67"/>
      <c r="AF276" s="67"/>
      <c r="AG276" s="67"/>
      <c r="AH276" s="67"/>
      <c r="AI276" s="67"/>
      <c r="AJ276" s="67"/>
      <c r="AK276" s="67"/>
      <c r="AL276" s="67"/>
      <c r="AM276" s="67"/>
      <c r="AN276" s="67"/>
      <c r="AO276" s="67"/>
      <c r="AP276" s="67"/>
      <c r="AQ276" s="67"/>
      <c r="AR276" s="67"/>
      <c r="AS276" s="67"/>
      <c r="AT276" s="67"/>
      <c r="AU276" s="67"/>
      <c r="AV276" s="67"/>
      <c r="AW276" s="67"/>
      <c r="AX276" s="67"/>
      <c r="AY276" s="67"/>
      <c r="AZ276" s="67"/>
      <c r="BA276" s="67"/>
      <c r="BB276" s="67"/>
      <c r="BC276" s="67"/>
      <c r="BD276" s="67"/>
      <c r="BE276" s="67"/>
      <c r="BF276" s="67"/>
      <c r="BG276" s="67"/>
      <c r="BH276" s="67"/>
      <c r="BI276" s="67"/>
      <c r="BJ276" s="67"/>
      <c r="BK276" s="67"/>
      <c r="BL276" s="67"/>
      <c r="BM276" s="67"/>
      <c r="BN276" s="67"/>
      <c r="BO276" s="67"/>
      <c r="BP276" s="67"/>
      <c r="BQ276" s="67"/>
      <c r="BR276" s="67"/>
      <c r="BS276" s="67"/>
      <c r="BT276" s="67"/>
      <c r="BU276" s="67"/>
      <c r="BV276" s="67"/>
      <c r="BW276" s="67"/>
      <c r="BX276" s="67"/>
      <c r="BY276" s="67"/>
      <c r="BZ276" s="67"/>
      <c r="CA276" s="67"/>
      <c r="CB276" s="67"/>
      <c r="CC276" s="67"/>
      <c r="CD276" s="67"/>
      <c r="CE276" s="67"/>
      <c r="CF276" s="67"/>
      <c r="CG276" s="67"/>
      <c r="CH276" s="67"/>
      <c r="CI276" s="67"/>
      <c r="CJ276" s="67"/>
      <c r="CK276" s="67"/>
      <c r="CL276" s="67"/>
      <c r="CM276" s="67"/>
      <c r="CN276" s="67"/>
      <c r="CO276" s="67"/>
      <c r="CP276" s="67"/>
      <c r="CQ276" s="67"/>
      <c r="CR276" s="67"/>
      <c r="CS276" s="67"/>
      <c r="CT276" s="67"/>
      <c r="CU276" s="67"/>
      <c r="CV276" s="67"/>
      <c r="CW276" s="67"/>
      <c r="CX276" s="67"/>
      <c r="CY276" s="67"/>
      <c r="CZ276" s="67"/>
      <c r="DA276" s="67"/>
      <c r="DB276" s="67"/>
      <c r="DC276" s="67"/>
      <c r="DD276" s="67"/>
      <c r="DE276" s="67"/>
      <c r="DF276" s="67"/>
      <c r="DG276" s="67"/>
      <c r="DH276" s="67"/>
      <c r="DI276" s="67"/>
      <c r="DJ276" s="67"/>
      <c r="DK276" s="67"/>
      <c r="DL276" s="67"/>
      <c r="DM276" s="67"/>
      <c r="DN276" s="67"/>
      <c r="DO276" s="67"/>
      <c r="DP276" s="67"/>
      <c r="DQ276" s="67"/>
      <c r="DR276" s="67"/>
      <c r="DS276" s="67"/>
      <c r="DT276" s="67"/>
      <c r="DU276" s="67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  <c r="ER276" s="6"/>
      <c r="ES276" s="6"/>
      <c r="ET276" s="6"/>
      <c r="EU276" s="6"/>
      <c r="EV276" s="6"/>
      <c r="EW276" s="6"/>
      <c r="EX276" s="6"/>
      <c r="EY276" s="6"/>
      <c r="EZ276" s="6"/>
      <c r="FA276" s="6"/>
      <c r="FB276" s="6"/>
      <c r="FC276" s="6"/>
      <c r="FD276" s="6"/>
      <c r="FE276" s="6"/>
      <c r="FF276" s="6"/>
      <c r="FG276" s="6"/>
      <c r="FH276" s="6"/>
      <c r="FI276" s="6"/>
      <c r="FJ276" s="6"/>
      <c r="FK276" s="6"/>
      <c r="FL276" s="6"/>
      <c r="FM276" s="6"/>
      <c r="FN276" s="6"/>
      <c r="FO276" s="6"/>
      <c r="FP276" s="6"/>
      <c r="FQ276" s="6"/>
      <c r="FR276" s="6"/>
      <c r="FS276" s="6"/>
      <c r="FT276" s="6"/>
      <c r="FU276" s="6"/>
      <c r="FV276" s="6"/>
      <c r="FW276" s="6"/>
      <c r="FX276" s="6"/>
      <c r="FY276" s="6"/>
      <c r="FZ276" s="6"/>
      <c r="GA276" s="6"/>
      <c r="GB276" s="6"/>
      <c r="GC276" s="6"/>
      <c r="GD276" s="6"/>
      <c r="GE276" s="6"/>
      <c r="GF276" s="6"/>
      <c r="GG276" s="6"/>
      <c r="GH276" s="6"/>
      <c r="GI276" s="6"/>
      <c r="GJ276" s="6"/>
      <c r="GK276" s="6"/>
      <c r="GL276" s="6"/>
    </row>
    <row r="277" spans="1:194" x14ac:dyDescent="0.25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7"/>
      <c r="AE277" s="67"/>
      <c r="AF277" s="67"/>
      <c r="AG277" s="67"/>
      <c r="AH277" s="67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  <c r="BD277" s="67"/>
      <c r="BE277" s="67"/>
      <c r="BF277" s="67"/>
      <c r="BG277" s="67"/>
      <c r="BH277" s="67"/>
      <c r="BI277" s="67"/>
      <c r="BJ277" s="67"/>
      <c r="BK277" s="67"/>
      <c r="BL277" s="67"/>
      <c r="BM277" s="67"/>
      <c r="BN277" s="67"/>
      <c r="BO277" s="67"/>
      <c r="BP277" s="67"/>
      <c r="BQ277" s="67"/>
      <c r="BR277" s="67"/>
      <c r="BS277" s="67"/>
      <c r="BT277" s="67"/>
      <c r="BU277" s="67"/>
      <c r="BV277" s="67"/>
      <c r="BW277" s="67"/>
      <c r="BX277" s="67"/>
      <c r="BY277" s="67"/>
      <c r="BZ277" s="67"/>
      <c r="CA277" s="67"/>
      <c r="CB277" s="67"/>
      <c r="CC277" s="67"/>
      <c r="CD277" s="67"/>
      <c r="CE277" s="67"/>
      <c r="CF277" s="67"/>
      <c r="CG277" s="67"/>
      <c r="CH277" s="67"/>
      <c r="CI277" s="67"/>
      <c r="CJ277" s="67"/>
      <c r="CK277" s="67"/>
      <c r="CL277" s="67"/>
      <c r="CM277" s="67"/>
      <c r="CN277" s="67"/>
      <c r="CO277" s="67"/>
      <c r="CP277" s="67"/>
      <c r="CQ277" s="67"/>
      <c r="CR277" s="67"/>
      <c r="CS277" s="67"/>
      <c r="CT277" s="67"/>
      <c r="CU277" s="67"/>
      <c r="CV277" s="67"/>
      <c r="CW277" s="67"/>
      <c r="CX277" s="67"/>
      <c r="CY277" s="67"/>
      <c r="CZ277" s="67"/>
      <c r="DA277" s="67"/>
      <c r="DB277" s="67"/>
      <c r="DC277" s="67"/>
      <c r="DD277" s="67"/>
      <c r="DE277" s="67"/>
      <c r="DF277" s="67"/>
      <c r="DG277" s="67"/>
      <c r="DH277" s="67"/>
      <c r="DI277" s="67"/>
      <c r="DJ277" s="67"/>
      <c r="DK277" s="67"/>
      <c r="DL277" s="67"/>
      <c r="DM277" s="67"/>
      <c r="DN277" s="67"/>
      <c r="DO277" s="67"/>
      <c r="DP277" s="67"/>
      <c r="DQ277" s="67"/>
      <c r="DR277" s="67"/>
      <c r="DS277" s="67"/>
      <c r="DT277" s="67"/>
      <c r="DU277" s="67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  <c r="ER277" s="6"/>
      <c r="ES277" s="6"/>
      <c r="ET277" s="6"/>
      <c r="EU277" s="6"/>
      <c r="EV277" s="6"/>
      <c r="EW277" s="6"/>
      <c r="EX277" s="6"/>
      <c r="EY277" s="6"/>
      <c r="EZ277" s="6"/>
      <c r="FA277" s="6"/>
      <c r="FB277" s="6"/>
      <c r="FC277" s="6"/>
      <c r="FD277" s="6"/>
      <c r="FE277" s="6"/>
      <c r="FF277" s="6"/>
      <c r="FG277" s="6"/>
      <c r="FH277" s="6"/>
      <c r="FI277" s="6"/>
      <c r="FJ277" s="6"/>
      <c r="FK277" s="6"/>
      <c r="FL277" s="6"/>
      <c r="FM277" s="6"/>
      <c r="FN277" s="6"/>
      <c r="FO277" s="6"/>
      <c r="FP277" s="6"/>
      <c r="FQ277" s="6"/>
      <c r="FR277" s="6"/>
      <c r="FS277" s="6"/>
      <c r="FT277" s="6"/>
      <c r="FU277" s="6"/>
      <c r="FV277" s="6"/>
      <c r="FW277" s="6"/>
      <c r="FX277" s="6"/>
      <c r="FY277" s="6"/>
      <c r="FZ277" s="6"/>
      <c r="GA277" s="6"/>
      <c r="GB277" s="6"/>
      <c r="GC277" s="6"/>
      <c r="GD277" s="6"/>
      <c r="GE277" s="6"/>
      <c r="GF277" s="6"/>
      <c r="GG277" s="6"/>
      <c r="GH277" s="6"/>
      <c r="GI277" s="6"/>
      <c r="GJ277" s="6"/>
      <c r="GK277" s="6"/>
      <c r="GL277" s="6"/>
    </row>
    <row r="278" spans="1:194" x14ac:dyDescent="0.25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7"/>
      <c r="AE278" s="67"/>
      <c r="AF278" s="67"/>
      <c r="AG278" s="67"/>
      <c r="AH278" s="67"/>
      <c r="AI278" s="67"/>
      <c r="AJ278" s="67"/>
      <c r="AK278" s="67"/>
      <c r="AL278" s="67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  <c r="BB278" s="67"/>
      <c r="BC278" s="67"/>
      <c r="BD278" s="67"/>
      <c r="BE278" s="67"/>
      <c r="BF278" s="67"/>
      <c r="BG278" s="67"/>
      <c r="BH278" s="67"/>
      <c r="BI278" s="67"/>
      <c r="BJ278" s="67"/>
      <c r="BK278" s="67"/>
      <c r="BL278" s="67"/>
      <c r="BM278" s="67"/>
      <c r="BN278" s="67"/>
      <c r="BO278" s="67"/>
      <c r="BP278" s="67"/>
      <c r="BQ278" s="67"/>
      <c r="BR278" s="67"/>
      <c r="BS278" s="67"/>
      <c r="BT278" s="67"/>
      <c r="BU278" s="67"/>
      <c r="BV278" s="67"/>
      <c r="BW278" s="67"/>
      <c r="BX278" s="67"/>
      <c r="BY278" s="67"/>
      <c r="BZ278" s="67"/>
      <c r="CA278" s="67"/>
      <c r="CB278" s="67"/>
      <c r="CC278" s="67"/>
      <c r="CD278" s="67"/>
      <c r="CE278" s="67"/>
      <c r="CF278" s="67"/>
      <c r="CG278" s="67"/>
      <c r="CH278" s="67"/>
      <c r="CI278" s="67"/>
      <c r="CJ278" s="67"/>
      <c r="CK278" s="67"/>
      <c r="CL278" s="67"/>
      <c r="CM278" s="67"/>
      <c r="CN278" s="67"/>
      <c r="CO278" s="67"/>
      <c r="CP278" s="67"/>
      <c r="CQ278" s="67"/>
      <c r="CR278" s="67"/>
      <c r="CS278" s="67"/>
      <c r="CT278" s="67"/>
      <c r="CU278" s="67"/>
      <c r="CV278" s="67"/>
      <c r="CW278" s="67"/>
      <c r="CX278" s="67"/>
      <c r="CY278" s="67"/>
      <c r="CZ278" s="67"/>
      <c r="DA278" s="67"/>
      <c r="DB278" s="67"/>
      <c r="DC278" s="67"/>
      <c r="DD278" s="67"/>
      <c r="DE278" s="67"/>
      <c r="DF278" s="67"/>
      <c r="DG278" s="67"/>
      <c r="DH278" s="67"/>
      <c r="DI278" s="67"/>
      <c r="DJ278" s="67"/>
      <c r="DK278" s="67"/>
      <c r="DL278" s="67"/>
      <c r="DM278" s="67"/>
      <c r="DN278" s="67"/>
      <c r="DO278" s="67"/>
      <c r="DP278" s="67"/>
      <c r="DQ278" s="67"/>
      <c r="DR278" s="67"/>
      <c r="DS278" s="67"/>
      <c r="DT278" s="67"/>
      <c r="DU278" s="67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  <c r="ER278" s="6"/>
      <c r="ES278" s="6"/>
      <c r="ET278" s="6"/>
      <c r="EU278" s="6"/>
      <c r="EV278" s="6"/>
      <c r="EW278" s="6"/>
      <c r="EX278" s="6"/>
      <c r="EY278" s="6"/>
      <c r="EZ278" s="6"/>
      <c r="FA278" s="6"/>
      <c r="FB278" s="6"/>
      <c r="FC278" s="6"/>
      <c r="FD278" s="6"/>
      <c r="FE278" s="6"/>
      <c r="FF278" s="6"/>
      <c r="FG278" s="6"/>
      <c r="FH278" s="6"/>
      <c r="FI278" s="6"/>
      <c r="FJ278" s="6"/>
      <c r="FK278" s="6"/>
      <c r="FL278" s="6"/>
      <c r="FM278" s="6"/>
      <c r="FN278" s="6"/>
      <c r="FO278" s="6"/>
      <c r="FP278" s="6"/>
      <c r="FQ278" s="6"/>
      <c r="FR278" s="6"/>
      <c r="FS278" s="6"/>
      <c r="FT278" s="6"/>
      <c r="FU278" s="6"/>
      <c r="FV278" s="6"/>
      <c r="FW278" s="6"/>
      <c r="FX278" s="6"/>
      <c r="FY278" s="6"/>
      <c r="FZ278" s="6"/>
      <c r="GA278" s="6"/>
      <c r="GB278" s="6"/>
      <c r="GC278" s="6"/>
      <c r="GD278" s="6"/>
      <c r="GE278" s="6"/>
      <c r="GF278" s="6"/>
      <c r="GG278" s="6"/>
      <c r="GH278" s="6"/>
      <c r="GI278" s="6"/>
      <c r="GJ278" s="6"/>
      <c r="GK278" s="6"/>
      <c r="GL278" s="6"/>
    </row>
    <row r="279" spans="1:194" x14ac:dyDescent="0.25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  <c r="AA279" s="67"/>
      <c r="AB279" s="67"/>
      <c r="AC279" s="67"/>
      <c r="AD279" s="67"/>
      <c r="AE279" s="67"/>
      <c r="AF279" s="67"/>
      <c r="AG279" s="67"/>
      <c r="AH279" s="67"/>
      <c r="AI279" s="67"/>
      <c r="AJ279" s="67"/>
      <c r="AK279" s="67"/>
      <c r="AL279" s="67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  <c r="BB279" s="67"/>
      <c r="BC279" s="67"/>
      <c r="BD279" s="67"/>
      <c r="BE279" s="67"/>
      <c r="BF279" s="67"/>
      <c r="BG279" s="67"/>
      <c r="BH279" s="67"/>
      <c r="BI279" s="67"/>
      <c r="BJ279" s="67"/>
      <c r="BK279" s="67"/>
      <c r="BL279" s="67"/>
      <c r="BM279" s="67"/>
      <c r="BN279" s="67"/>
      <c r="BO279" s="67"/>
      <c r="BP279" s="67"/>
      <c r="BQ279" s="67"/>
      <c r="BR279" s="67"/>
      <c r="BS279" s="67"/>
      <c r="BT279" s="67"/>
      <c r="BU279" s="67"/>
      <c r="BV279" s="67"/>
      <c r="BW279" s="67"/>
      <c r="BX279" s="67"/>
      <c r="BY279" s="67"/>
      <c r="BZ279" s="67"/>
      <c r="CA279" s="67"/>
      <c r="CB279" s="67"/>
      <c r="CC279" s="67"/>
      <c r="CD279" s="67"/>
      <c r="CE279" s="67"/>
      <c r="CF279" s="67"/>
      <c r="CG279" s="67"/>
      <c r="CH279" s="67"/>
      <c r="CI279" s="67"/>
      <c r="CJ279" s="67"/>
      <c r="CK279" s="67"/>
      <c r="CL279" s="67"/>
      <c r="CM279" s="67"/>
      <c r="CN279" s="67"/>
      <c r="CO279" s="67"/>
      <c r="CP279" s="67"/>
      <c r="CQ279" s="67"/>
      <c r="CR279" s="67"/>
      <c r="CS279" s="67"/>
      <c r="CT279" s="67"/>
      <c r="CU279" s="67"/>
      <c r="CV279" s="67"/>
      <c r="CW279" s="67"/>
      <c r="CX279" s="67"/>
      <c r="CY279" s="67"/>
      <c r="CZ279" s="67"/>
      <c r="DA279" s="67"/>
      <c r="DB279" s="67"/>
      <c r="DC279" s="67"/>
      <c r="DD279" s="67"/>
      <c r="DE279" s="67"/>
      <c r="DF279" s="67"/>
      <c r="DG279" s="67"/>
      <c r="DH279" s="67"/>
      <c r="DI279" s="67"/>
      <c r="DJ279" s="67"/>
      <c r="DK279" s="67"/>
      <c r="DL279" s="67"/>
      <c r="DM279" s="67"/>
      <c r="DN279" s="67"/>
      <c r="DO279" s="67"/>
      <c r="DP279" s="67"/>
      <c r="DQ279" s="67"/>
      <c r="DR279" s="67"/>
      <c r="DS279" s="67"/>
      <c r="DT279" s="67"/>
      <c r="DU279" s="67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  <c r="ER279" s="6"/>
      <c r="ES279" s="6"/>
      <c r="ET279" s="6"/>
      <c r="EU279" s="6"/>
      <c r="EV279" s="6"/>
      <c r="EW279" s="6"/>
      <c r="EX279" s="6"/>
      <c r="EY279" s="6"/>
      <c r="EZ279" s="6"/>
      <c r="FA279" s="6"/>
      <c r="FB279" s="6"/>
      <c r="FC279" s="6"/>
      <c r="FD279" s="6"/>
      <c r="FE279" s="6"/>
      <c r="FF279" s="6"/>
      <c r="FG279" s="6"/>
      <c r="FH279" s="6"/>
      <c r="FI279" s="6"/>
      <c r="FJ279" s="6"/>
      <c r="FK279" s="6"/>
      <c r="FL279" s="6"/>
      <c r="FM279" s="6"/>
      <c r="FN279" s="6"/>
      <c r="FO279" s="6"/>
      <c r="FP279" s="6"/>
      <c r="FQ279" s="6"/>
      <c r="FR279" s="6"/>
      <c r="FS279" s="6"/>
      <c r="FT279" s="6"/>
      <c r="FU279" s="6"/>
      <c r="FV279" s="6"/>
      <c r="FW279" s="6"/>
      <c r="FX279" s="6"/>
      <c r="FY279" s="6"/>
      <c r="FZ279" s="6"/>
      <c r="GA279" s="6"/>
      <c r="GB279" s="6"/>
      <c r="GC279" s="6"/>
      <c r="GD279" s="6"/>
      <c r="GE279" s="6"/>
      <c r="GF279" s="6"/>
      <c r="GG279" s="6"/>
      <c r="GH279" s="6"/>
      <c r="GI279" s="6"/>
      <c r="GJ279" s="6"/>
      <c r="GK279" s="6"/>
      <c r="GL279" s="6"/>
    </row>
    <row r="280" spans="1:194" x14ac:dyDescent="0.25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7"/>
      <c r="AE280" s="67"/>
      <c r="AF280" s="67"/>
      <c r="AG280" s="67"/>
      <c r="AH280" s="67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  <c r="BB280" s="67"/>
      <c r="BC280" s="67"/>
      <c r="BD280" s="67"/>
      <c r="BE280" s="67"/>
      <c r="BF280" s="67"/>
      <c r="BG280" s="67"/>
      <c r="BH280" s="67"/>
      <c r="BI280" s="67"/>
      <c r="BJ280" s="67"/>
      <c r="BK280" s="67"/>
      <c r="BL280" s="67"/>
      <c r="BM280" s="67"/>
      <c r="BN280" s="67"/>
      <c r="BO280" s="67"/>
      <c r="BP280" s="67"/>
      <c r="BQ280" s="67"/>
      <c r="BR280" s="67"/>
      <c r="BS280" s="67"/>
      <c r="BT280" s="67"/>
      <c r="BU280" s="67"/>
      <c r="BV280" s="67"/>
      <c r="BW280" s="67"/>
      <c r="BX280" s="67"/>
      <c r="BY280" s="67"/>
      <c r="BZ280" s="67"/>
      <c r="CA280" s="67"/>
      <c r="CB280" s="67"/>
      <c r="CC280" s="67"/>
      <c r="CD280" s="67"/>
      <c r="CE280" s="67"/>
      <c r="CF280" s="67"/>
      <c r="CG280" s="67"/>
      <c r="CH280" s="67"/>
      <c r="CI280" s="67"/>
      <c r="CJ280" s="67"/>
      <c r="CK280" s="67"/>
      <c r="CL280" s="67"/>
      <c r="CM280" s="67"/>
      <c r="CN280" s="67"/>
      <c r="CO280" s="67"/>
      <c r="CP280" s="67"/>
      <c r="CQ280" s="67"/>
      <c r="CR280" s="67"/>
      <c r="CS280" s="67"/>
      <c r="CT280" s="67"/>
      <c r="CU280" s="67"/>
      <c r="CV280" s="67"/>
      <c r="CW280" s="67"/>
      <c r="CX280" s="67"/>
      <c r="CY280" s="67"/>
      <c r="CZ280" s="67"/>
      <c r="DA280" s="67"/>
      <c r="DB280" s="67"/>
      <c r="DC280" s="67"/>
      <c r="DD280" s="67"/>
      <c r="DE280" s="67"/>
      <c r="DF280" s="67"/>
      <c r="DG280" s="67"/>
      <c r="DH280" s="67"/>
      <c r="DI280" s="67"/>
      <c r="DJ280" s="67"/>
      <c r="DK280" s="67"/>
      <c r="DL280" s="67"/>
      <c r="DM280" s="67"/>
      <c r="DN280" s="67"/>
      <c r="DO280" s="67"/>
      <c r="DP280" s="67"/>
      <c r="DQ280" s="67"/>
      <c r="DR280" s="67"/>
      <c r="DS280" s="67"/>
      <c r="DT280" s="67"/>
      <c r="DU280" s="67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  <c r="ER280" s="6"/>
      <c r="ES280" s="6"/>
      <c r="ET280" s="6"/>
      <c r="EU280" s="6"/>
      <c r="EV280" s="6"/>
      <c r="EW280" s="6"/>
      <c r="EX280" s="6"/>
      <c r="EY280" s="6"/>
      <c r="EZ280" s="6"/>
      <c r="FA280" s="6"/>
      <c r="FB280" s="6"/>
      <c r="FC280" s="6"/>
      <c r="FD280" s="6"/>
      <c r="FE280" s="6"/>
      <c r="FF280" s="6"/>
      <c r="FG280" s="6"/>
      <c r="FH280" s="6"/>
      <c r="FI280" s="6"/>
      <c r="FJ280" s="6"/>
      <c r="FK280" s="6"/>
      <c r="FL280" s="6"/>
      <c r="FM280" s="6"/>
      <c r="FN280" s="6"/>
      <c r="FO280" s="6"/>
      <c r="FP280" s="6"/>
      <c r="FQ280" s="6"/>
      <c r="FR280" s="6"/>
      <c r="FS280" s="6"/>
      <c r="FT280" s="6"/>
      <c r="FU280" s="6"/>
      <c r="FV280" s="6"/>
      <c r="FW280" s="6"/>
      <c r="FX280" s="6"/>
      <c r="FY280" s="6"/>
      <c r="FZ280" s="6"/>
      <c r="GA280" s="6"/>
      <c r="GB280" s="6"/>
      <c r="GC280" s="6"/>
      <c r="GD280" s="6"/>
      <c r="GE280" s="6"/>
      <c r="GF280" s="6"/>
      <c r="GG280" s="6"/>
      <c r="GH280" s="6"/>
      <c r="GI280" s="6"/>
      <c r="GJ280" s="6"/>
      <c r="GK280" s="6"/>
      <c r="GL280" s="6"/>
    </row>
    <row r="281" spans="1:194" x14ac:dyDescent="0.25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  <c r="AA281" s="67"/>
      <c r="AB281" s="67"/>
      <c r="AC281" s="67"/>
      <c r="AD281" s="67"/>
      <c r="AE281" s="67"/>
      <c r="AF281" s="67"/>
      <c r="AG281" s="67"/>
      <c r="AH281" s="67"/>
      <c r="AI281" s="67"/>
      <c r="AJ281" s="67"/>
      <c r="AK281" s="67"/>
      <c r="AL281" s="67"/>
      <c r="AM281" s="67"/>
      <c r="AN281" s="67"/>
      <c r="AO281" s="67"/>
      <c r="AP281" s="67"/>
      <c r="AQ281" s="67"/>
      <c r="AR281" s="67"/>
      <c r="AS281" s="67"/>
      <c r="AT281" s="67"/>
      <c r="AU281" s="67"/>
      <c r="AV281" s="67"/>
      <c r="AW281" s="67"/>
      <c r="AX281" s="67"/>
      <c r="AY281" s="67"/>
      <c r="AZ281" s="67"/>
      <c r="BA281" s="67"/>
      <c r="BB281" s="67"/>
      <c r="BC281" s="67"/>
      <c r="BD281" s="67"/>
      <c r="BE281" s="67"/>
      <c r="BF281" s="67"/>
      <c r="BG281" s="67"/>
      <c r="BH281" s="67"/>
      <c r="BI281" s="67"/>
      <c r="BJ281" s="67"/>
      <c r="BK281" s="67"/>
      <c r="BL281" s="67"/>
      <c r="BM281" s="67"/>
      <c r="BN281" s="67"/>
      <c r="BO281" s="67"/>
      <c r="BP281" s="67"/>
      <c r="BQ281" s="67"/>
      <c r="BR281" s="67"/>
      <c r="BS281" s="67"/>
      <c r="BT281" s="67"/>
      <c r="BU281" s="67"/>
      <c r="BV281" s="67"/>
      <c r="BW281" s="67"/>
      <c r="BX281" s="67"/>
      <c r="BY281" s="67"/>
      <c r="BZ281" s="67"/>
      <c r="CA281" s="67"/>
      <c r="CB281" s="67"/>
      <c r="CC281" s="67"/>
      <c r="CD281" s="67"/>
      <c r="CE281" s="67"/>
      <c r="CF281" s="67"/>
      <c r="CG281" s="67"/>
      <c r="CH281" s="67"/>
      <c r="CI281" s="67"/>
      <c r="CJ281" s="67"/>
      <c r="CK281" s="67"/>
      <c r="CL281" s="67"/>
      <c r="CM281" s="67"/>
      <c r="CN281" s="67"/>
      <c r="CO281" s="67"/>
      <c r="CP281" s="67"/>
      <c r="CQ281" s="67"/>
      <c r="CR281" s="67"/>
      <c r="CS281" s="67"/>
      <c r="CT281" s="67"/>
      <c r="CU281" s="67"/>
      <c r="CV281" s="67"/>
      <c r="CW281" s="67"/>
      <c r="CX281" s="67"/>
      <c r="CY281" s="67"/>
      <c r="CZ281" s="67"/>
      <c r="DA281" s="67"/>
      <c r="DB281" s="67"/>
      <c r="DC281" s="67"/>
      <c r="DD281" s="67"/>
      <c r="DE281" s="67"/>
      <c r="DF281" s="67"/>
      <c r="DG281" s="67"/>
      <c r="DH281" s="67"/>
      <c r="DI281" s="67"/>
      <c r="DJ281" s="67"/>
      <c r="DK281" s="67"/>
      <c r="DL281" s="67"/>
      <c r="DM281" s="67"/>
      <c r="DN281" s="67"/>
      <c r="DO281" s="67"/>
      <c r="DP281" s="67"/>
      <c r="DQ281" s="67"/>
      <c r="DR281" s="67"/>
      <c r="DS281" s="67"/>
      <c r="DT281" s="67"/>
      <c r="DU281" s="67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  <c r="ER281" s="6"/>
      <c r="ES281" s="6"/>
      <c r="ET281" s="6"/>
      <c r="EU281" s="6"/>
      <c r="EV281" s="6"/>
      <c r="EW281" s="6"/>
      <c r="EX281" s="6"/>
      <c r="EY281" s="6"/>
      <c r="EZ281" s="6"/>
      <c r="FA281" s="6"/>
      <c r="FB281" s="6"/>
      <c r="FC281" s="6"/>
      <c r="FD281" s="6"/>
      <c r="FE281" s="6"/>
      <c r="FF281" s="6"/>
      <c r="FG281" s="6"/>
      <c r="FH281" s="6"/>
      <c r="FI281" s="6"/>
      <c r="FJ281" s="6"/>
      <c r="FK281" s="6"/>
      <c r="FL281" s="6"/>
      <c r="FM281" s="6"/>
      <c r="FN281" s="6"/>
      <c r="FO281" s="6"/>
      <c r="FP281" s="6"/>
      <c r="FQ281" s="6"/>
      <c r="FR281" s="6"/>
      <c r="FS281" s="6"/>
      <c r="FT281" s="6"/>
      <c r="FU281" s="6"/>
      <c r="FV281" s="6"/>
      <c r="FW281" s="6"/>
      <c r="FX281" s="6"/>
      <c r="FY281" s="6"/>
      <c r="FZ281" s="6"/>
      <c r="GA281" s="6"/>
      <c r="GB281" s="6"/>
      <c r="GC281" s="6"/>
      <c r="GD281" s="6"/>
      <c r="GE281" s="6"/>
      <c r="GF281" s="6"/>
      <c r="GG281" s="6"/>
      <c r="GH281" s="6"/>
      <c r="GI281" s="6"/>
      <c r="GJ281" s="6"/>
      <c r="GK281" s="6"/>
      <c r="GL281" s="6"/>
    </row>
    <row r="282" spans="1:194" x14ac:dyDescent="0.25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A282" s="67"/>
      <c r="AB282" s="67"/>
      <c r="AC282" s="67"/>
      <c r="AD282" s="67"/>
      <c r="AE282" s="67"/>
      <c r="AF282" s="67"/>
      <c r="AG282" s="67"/>
      <c r="AH282" s="67"/>
      <c r="AI282" s="67"/>
      <c r="AJ282" s="67"/>
      <c r="AK282" s="67"/>
      <c r="AL282" s="67"/>
      <c r="AM282" s="67"/>
      <c r="AN282" s="67"/>
      <c r="AO282" s="67"/>
      <c r="AP282" s="67"/>
      <c r="AQ282" s="67"/>
      <c r="AR282" s="67"/>
      <c r="AS282" s="67"/>
      <c r="AT282" s="67"/>
      <c r="AU282" s="67"/>
      <c r="AV282" s="67"/>
      <c r="AW282" s="67"/>
      <c r="AX282" s="67"/>
      <c r="AY282" s="67"/>
      <c r="AZ282" s="67"/>
      <c r="BA282" s="67"/>
      <c r="BB282" s="67"/>
      <c r="BC282" s="67"/>
      <c r="BD282" s="67"/>
      <c r="BE282" s="67"/>
      <c r="BF282" s="67"/>
      <c r="BG282" s="67"/>
      <c r="BH282" s="67"/>
      <c r="BI282" s="67"/>
      <c r="BJ282" s="67"/>
      <c r="BK282" s="67"/>
      <c r="BL282" s="67"/>
      <c r="BM282" s="67"/>
      <c r="BN282" s="67"/>
      <c r="BO282" s="67"/>
      <c r="BP282" s="67"/>
      <c r="BQ282" s="67"/>
      <c r="BR282" s="67"/>
      <c r="BS282" s="67"/>
      <c r="BT282" s="67"/>
      <c r="BU282" s="67"/>
      <c r="BV282" s="67"/>
      <c r="BW282" s="67"/>
      <c r="BX282" s="67"/>
      <c r="BY282" s="67"/>
      <c r="BZ282" s="67"/>
      <c r="CA282" s="67"/>
      <c r="CB282" s="67"/>
      <c r="CC282" s="67"/>
      <c r="CD282" s="67"/>
      <c r="CE282" s="67"/>
      <c r="CF282" s="67"/>
      <c r="CG282" s="67"/>
      <c r="CH282" s="67"/>
      <c r="CI282" s="67"/>
      <c r="CJ282" s="67"/>
      <c r="CK282" s="67"/>
      <c r="CL282" s="67"/>
      <c r="CM282" s="67"/>
      <c r="CN282" s="67"/>
      <c r="CO282" s="67"/>
      <c r="CP282" s="67"/>
      <c r="CQ282" s="67"/>
      <c r="CR282" s="67"/>
      <c r="CS282" s="67"/>
      <c r="CT282" s="67"/>
      <c r="CU282" s="67"/>
      <c r="CV282" s="67"/>
      <c r="CW282" s="67"/>
      <c r="CX282" s="67"/>
      <c r="CY282" s="67"/>
      <c r="CZ282" s="67"/>
      <c r="DA282" s="67"/>
      <c r="DB282" s="67"/>
      <c r="DC282" s="67"/>
      <c r="DD282" s="67"/>
      <c r="DE282" s="67"/>
      <c r="DF282" s="67"/>
      <c r="DG282" s="67"/>
      <c r="DH282" s="67"/>
      <c r="DI282" s="67"/>
      <c r="DJ282" s="67"/>
      <c r="DK282" s="67"/>
      <c r="DL282" s="67"/>
      <c r="DM282" s="67"/>
      <c r="DN282" s="67"/>
      <c r="DO282" s="67"/>
      <c r="DP282" s="67"/>
      <c r="DQ282" s="67"/>
      <c r="DR282" s="67"/>
      <c r="DS282" s="67"/>
      <c r="DT282" s="67"/>
      <c r="DU282" s="67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  <c r="ER282" s="6"/>
      <c r="ES282" s="6"/>
      <c r="ET282" s="6"/>
      <c r="EU282" s="6"/>
      <c r="EV282" s="6"/>
      <c r="EW282" s="6"/>
      <c r="EX282" s="6"/>
      <c r="EY282" s="6"/>
      <c r="EZ282" s="6"/>
      <c r="FA282" s="6"/>
      <c r="FB282" s="6"/>
      <c r="FC282" s="6"/>
      <c r="FD282" s="6"/>
      <c r="FE282" s="6"/>
      <c r="FF282" s="6"/>
      <c r="FG282" s="6"/>
      <c r="FH282" s="6"/>
      <c r="FI282" s="6"/>
      <c r="FJ282" s="6"/>
      <c r="FK282" s="6"/>
      <c r="FL282" s="6"/>
      <c r="FM282" s="6"/>
      <c r="FN282" s="6"/>
      <c r="FO282" s="6"/>
      <c r="FP282" s="6"/>
      <c r="FQ282" s="6"/>
      <c r="FR282" s="6"/>
      <c r="FS282" s="6"/>
      <c r="FT282" s="6"/>
      <c r="FU282" s="6"/>
      <c r="FV282" s="6"/>
      <c r="FW282" s="6"/>
      <c r="FX282" s="6"/>
      <c r="FY282" s="6"/>
      <c r="FZ282" s="6"/>
      <c r="GA282" s="6"/>
      <c r="GB282" s="6"/>
      <c r="GC282" s="6"/>
      <c r="GD282" s="6"/>
      <c r="GE282" s="6"/>
      <c r="GF282" s="6"/>
      <c r="GG282" s="6"/>
      <c r="GH282" s="6"/>
      <c r="GI282" s="6"/>
      <c r="GJ282" s="6"/>
      <c r="GK282" s="6"/>
      <c r="GL282" s="6"/>
    </row>
    <row r="283" spans="1:194" x14ac:dyDescent="0.25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  <c r="AA283" s="67"/>
      <c r="AB283" s="67"/>
      <c r="AC283" s="67"/>
      <c r="AD283" s="67"/>
      <c r="AE283" s="67"/>
      <c r="AF283" s="67"/>
      <c r="AG283" s="67"/>
      <c r="AH283" s="67"/>
      <c r="AI283" s="67"/>
      <c r="AJ283" s="67"/>
      <c r="AK283" s="67"/>
      <c r="AL283" s="67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  <c r="BB283" s="67"/>
      <c r="BC283" s="67"/>
      <c r="BD283" s="67"/>
      <c r="BE283" s="67"/>
      <c r="BF283" s="67"/>
      <c r="BG283" s="67"/>
      <c r="BH283" s="67"/>
      <c r="BI283" s="67"/>
      <c r="BJ283" s="67"/>
      <c r="BK283" s="67"/>
      <c r="BL283" s="67"/>
      <c r="BM283" s="67"/>
      <c r="BN283" s="67"/>
      <c r="BO283" s="67"/>
      <c r="BP283" s="67"/>
      <c r="BQ283" s="67"/>
      <c r="BR283" s="67"/>
      <c r="BS283" s="67"/>
      <c r="BT283" s="67"/>
      <c r="BU283" s="67"/>
      <c r="BV283" s="67"/>
      <c r="BW283" s="67"/>
      <c r="BX283" s="67"/>
      <c r="BY283" s="67"/>
      <c r="BZ283" s="67"/>
      <c r="CA283" s="67"/>
      <c r="CB283" s="67"/>
      <c r="CC283" s="67"/>
      <c r="CD283" s="67"/>
      <c r="CE283" s="67"/>
      <c r="CF283" s="67"/>
      <c r="CG283" s="67"/>
      <c r="CH283" s="67"/>
      <c r="CI283" s="67"/>
      <c r="CJ283" s="67"/>
      <c r="CK283" s="67"/>
      <c r="CL283" s="67"/>
      <c r="CM283" s="67"/>
      <c r="CN283" s="67"/>
      <c r="CO283" s="67"/>
      <c r="CP283" s="67"/>
      <c r="CQ283" s="67"/>
      <c r="CR283" s="67"/>
      <c r="CS283" s="67"/>
      <c r="CT283" s="67"/>
      <c r="CU283" s="67"/>
      <c r="CV283" s="67"/>
      <c r="CW283" s="67"/>
      <c r="CX283" s="67"/>
      <c r="CY283" s="67"/>
      <c r="CZ283" s="67"/>
      <c r="DA283" s="67"/>
      <c r="DB283" s="67"/>
      <c r="DC283" s="67"/>
      <c r="DD283" s="67"/>
      <c r="DE283" s="67"/>
      <c r="DF283" s="67"/>
      <c r="DG283" s="67"/>
      <c r="DH283" s="67"/>
      <c r="DI283" s="67"/>
      <c r="DJ283" s="67"/>
      <c r="DK283" s="67"/>
      <c r="DL283" s="67"/>
      <c r="DM283" s="67"/>
      <c r="DN283" s="67"/>
      <c r="DO283" s="67"/>
      <c r="DP283" s="67"/>
      <c r="DQ283" s="67"/>
      <c r="DR283" s="67"/>
      <c r="DS283" s="67"/>
      <c r="DT283" s="67"/>
      <c r="DU283" s="67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  <c r="ER283" s="6"/>
      <c r="ES283" s="6"/>
      <c r="ET283" s="6"/>
      <c r="EU283" s="6"/>
      <c r="EV283" s="6"/>
      <c r="EW283" s="6"/>
      <c r="EX283" s="6"/>
      <c r="EY283" s="6"/>
      <c r="EZ283" s="6"/>
      <c r="FA283" s="6"/>
      <c r="FB283" s="6"/>
      <c r="FC283" s="6"/>
      <c r="FD283" s="6"/>
      <c r="FE283" s="6"/>
      <c r="FF283" s="6"/>
      <c r="FG283" s="6"/>
      <c r="FH283" s="6"/>
      <c r="FI283" s="6"/>
      <c r="FJ283" s="6"/>
      <c r="FK283" s="6"/>
      <c r="FL283" s="6"/>
      <c r="FM283" s="6"/>
      <c r="FN283" s="6"/>
      <c r="FO283" s="6"/>
      <c r="FP283" s="6"/>
      <c r="FQ283" s="6"/>
      <c r="FR283" s="6"/>
      <c r="FS283" s="6"/>
      <c r="FT283" s="6"/>
      <c r="FU283" s="6"/>
      <c r="FV283" s="6"/>
      <c r="FW283" s="6"/>
      <c r="FX283" s="6"/>
      <c r="FY283" s="6"/>
      <c r="FZ283" s="6"/>
      <c r="GA283" s="6"/>
      <c r="GB283" s="6"/>
      <c r="GC283" s="6"/>
      <c r="GD283" s="6"/>
      <c r="GE283" s="6"/>
      <c r="GF283" s="6"/>
      <c r="GG283" s="6"/>
      <c r="GH283" s="6"/>
      <c r="GI283" s="6"/>
      <c r="GJ283" s="6"/>
      <c r="GK283" s="6"/>
      <c r="GL283" s="6"/>
    </row>
    <row r="284" spans="1:194" x14ac:dyDescent="0.25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7"/>
      <c r="AE284" s="67"/>
      <c r="AF284" s="67"/>
      <c r="AG284" s="67"/>
      <c r="AH284" s="67"/>
      <c r="AI284" s="67"/>
      <c r="AJ284" s="67"/>
      <c r="AK284" s="67"/>
      <c r="AL284" s="67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  <c r="BB284" s="67"/>
      <c r="BC284" s="67"/>
      <c r="BD284" s="67"/>
      <c r="BE284" s="67"/>
      <c r="BF284" s="67"/>
      <c r="BG284" s="67"/>
      <c r="BH284" s="67"/>
      <c r="BI284" s="67"/>
      <c r="BJ284" s="67"/>
      <c r="BK284" s="67"/>
      <c r="BL284" s="67"/>
      <c r="BM284" s="67"/>
      <c r="BN284" s="67"/>
      <c r="BO284" s="67"/>
      <c r="BP284" s="67"/>
      <c r="BQ284" s="67"/>
      <c r="BR284" s="67"/>
      <c r="BS284" s="67"/>
      <c r="BT284" s="67"/>
      <c r="BU284" s="67"/>
      <c r="BV284" s="67"/>
      <c r="BW284" s="67"/>
      <c r="BX284" s="67"/>
      <c r="BY284" s="67"/>
      <c r="BZ284" s="67"/>
      <c r="CA284" s="67"/>
      <c r="CB284" s="67"/>
      <c r="CC284" s="67"/>
      <c r="CD284" s="67"/>
      <c r="CE284" s="67"/>
      <c r="CF284" s="67"/>
      <c r="CG284" s="67"/>
      <c r="CH284" s="67"/>
      <c r="CI284" s="67"/>
      <c r="CJ284" s="67"/>
      <c r="CK284" s="67"/>
      <c r="CL284" s="67"/>
      <c r="CM284" s="67"/>
      <c r="CN284" s="67"/>
      <c r="CO284" s="67"/>
      <c r="CP284" s="67"/>
      <c r="CQ284" s="67"/>
      <c r="CR284" s="67"/>
      <c r="CS284" s="67"/>
      <c r="CT284" s="67"/>
      <c r="CU284" s="67"/>
      <c r="CV284" s="67"/>
      <c r="CW284" s="67"/>
      <c r="CX284" s="67"/>
      <c r="CY284" s="67"/>
      <c r="CZ284" s="67"/>
      <c r="DA284" s="67"/>
      <c r="DB284" s="67"/>
      <c r="DC284" s="67"/>
      <c r="DD284" s="67"/>
      <c r="DE284" s="67"/>
      <c r="DF284" s="67"/>
      <c r="DG284" s="67"/>
      <c r="DH284" s="67"/>
      <c r="DI284" s="67"/>
      <c r="DJ284" s="67"/>
      <c r="DK284" s="67"/>
      <c r="DL284" s="67"/>
      <c r="DM284" s="67"/>
      <c r="DN284" s="67"/>
      <c r="DO284" s="67"/>
      <c r="DP284" s="67"/>
      <c r="DQ284" s="67"/>
      <c r="DR284" s="67"/>
      <c r="DS284" s="67"/>
      <c r="DT284" s="67"/>
      <c r="DU284" s="67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  <c r="ER284" s="6"/>
      <c r="ES284" s="6"/>
      <c r="ET284" s="6"/>
      <c r="EU284" s="6"/>
      <c r="EV284" s="6"/>
      <c r="EW284" s="6"/>
      <c r="EX284" s="6"/>
      <c r="EY284" s="6"/>
      <c r="EZ284" s="6"/>
      <c r="FA284" s="6"/>
      <c r="FB284" s="6"/>
      <c r="FC284" s="6"/>
      <c r="FD284" s="6"/>
      <c r="FE284" s="6"/>
      <c r="FF284" s="6"/>
      <c r="FG284" s="6"/>
      <c r="FH284" s="6"/>
      <c r="FI284" s="6"/>
      <c r="FJ284" s="6"/>
      <c r="FK284" s="6"/>
      <c r="FL284" s="6"/>
      <c r="FM284" s="6"/>
      <c r="FN284" s="6"/>
      <c r="FO284" s="6"/>
      <c r="FP284" s="6"/>
      <c r="FQ284" s="6"/>
      <c r="FR284" s="6"/>
      <c r="FS284" s="6"/>
      <c r="FT284" s="6"/>
      <c r="FU284" s="6"/>
      <c r="FV284" s="6"/>
      <c r="FW284" s="6"/>
      <c r="FX284" s="6"/>
      <c r="FY284" s="6"/>
      <c r="FZ284" s="6"/>
      <c r="GA284" s="6"/>
      <c r="GB284" s="6"/>
      <c r="GC284" s="6"/>
      <c r="GD284" s="6"/>
      <c r="GE284" s="6"/>
      <c r="GF284" s="6"/>
      <c r="GG284" s="6"/>
      <c r="GH284" s="6"/>
      <c r="GI284" s="6"/>
      <c r="GJ284" s="6"/>
      <c r="GK284" s="6"/>
      <c r="GL284" s="6"/>
    </row>
    <row r="285" spans="1:194" x14ac:dyDescent="0.25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  <c r="AA285" s="67"/>
      <c r="AB285" s="67"/>
      <c r="AC285" s="67"/>
      <c r="AD285" s="67"/>
      <c r="AE285" s="67"/>
      <c r="AF285" s="67"/>
      <c r="AG285" s="67"/>
      <c r="AH285" s="67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  <c r="BB285" s="67"/>
      <c r="BC285" s="67"/>
      <c r="BD285" s="67"/>
      <c r="BE285" s="67"/>
      <c r="BF285" s="67"/>
      <c r="BG285" s="67"/>
      <c r="BH285" s="67"/>
      <c r="BI285" s="67"/>
      <c r="BJ285" s="67"/>
      <c r="BK285" s="67"/>
      <c r="BL285" s="67"/>
      <c r="BM285" s="67"/>
      <c r="BN285" s="67"/>
      <c r="BO285" s="67"/>
      <c r="BP285" s="67"/>
      <c r="BQ285" s="67"/>
      <c r="BR285" s="67"/>
      <c r="BS285" s="67"/>
      <c r="BT285" s="67"/>
      <c r="BU285" s="67"/>
      <c r="BV285" s="67"/>
      <c r="BW285" s="67"/>
      <c r="BX285" s="67"/>
      <c r="BY285" s="67"/>
      <c r="BZ285" s="67"/>
      <c r="CA285" s="67"/>
      <c r="CB285" s="67"/>
      <c r="CC285" s="67"/>
      <c r="CD285" s="67"/>
      <c r="CE285" s="67"/>
      <c r="CF285" s="67"/>
      <c r="CG285" s="67"/>
      <c r="CH285" s="67"/>
      <c r="CI285" s="67"/>
      <c r="CJ285" s="67"/>
      <c r="CK285" s="67"/>
      <c r="CL285" s="67"/>
      <c r="CM285" s="67"/>
      <c r="CN285" s="67"/>
      <c r="CO285" s="67"/>
      <c r="CP285" s="67"/>
      <c r="CQ285" s="67"/>
      <c r="CR285" s="67"/>
      <c r="CS285" s="67"/>
      <c r="CT285" s="67"/>
      <c r="CU285" s="67"/>
      <c r="CV285" s="67"/>
      <c r="CW285" s="67"/>
      <c r="CX285" s="67"/>
      <c r="CY285" s="67"/>
      <c r="CZ285" s="67"/>
      <c r="DA285" s="67"/>
      <c r="DB285" s="67"/>
      <c r="DC285" s="67"/>
      <c r="DD285" s="67"/>
      <c r="DE285" s="67"/>
      <c r="DF285" s="67"/>
      <c r="DG285" s="67"/>
      <c r="DH285" s="67"/>
      <c r="DI285" s="67"/>
      <c r="DJ285" s="67"/>
      <c r="DK285" s="67"/>
      <c r="DL285" s="67"/>
      <c r="DM285" s="67"/>
      <c r="DN285" s="67"/>
      <c r="DO285" s="67"/>
      <c r="DP285" s="67"/>
      <c r="DQ285" s="67"/>
      <c r="DR285" s="67"/>
      <c r="DS285" s="67"/>
      <c r="DT285" s="67"/>
      <c r="DU285" s="67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  <c r="ER285" s="6"/>
      <c r="ES285" s="6"/>
      <c r="ET285" s="6"/>
      <c r="EU285" s="6"/>
      <c r="EV285" s="6"/>
      <c r="EW285" s="6"/>
      <c r="EX285" s="6"/>
      <c r="EY285" s="6"/>
      <c r="EZ285" s="6"/>
      <c r="FA285" s="6"/>
      <c r="FB285" s="6"/>
      <c r="FC285" s="6"/>
      <c r="FD285" s="6"/>
      <c r="FE285" s="6"/>
      <c r="FF285" s="6"/>
      <c r="FG285" s="6"/>
      <c r="FH285" s="6"/>
      <c r="FI285" s="6"/>
      <c r="FJ285" s="6"/>
      <c r="FK285" s="6"/>
      <c r="FL285" s="6"/>
      <c r="FM285" s="6"/>
      <c r="FN285" s="6"/>
      <c r="FO285" s="6"/>
      <c r="FP285" s="6"/>
      <c r="FQ285" s="6"/>
      <c r="FR285" s="6"/>
      <c r="FS285" s="6"/>
      <c r="FT285" s="6"/>
      <c r="FU285" s="6"/>
      <c r="FV285" s="6"/>
      <c r="FW285" s="6"/>
      <c r="FX285" s="6"/>
      <c r="FY285" s="6"/>
      <c r="FZ285" s="6"/>
      <c r="GA285" s="6"/>
      <c r="GB285" s="6"/>
      <c r="GC285" s="6"/>
      <c r="GD285" s="6"/>
      <c r="GE285" s="6"/>
      <c r="GF285" s="6"/>
      <c r="GG285" s="6"/>
      <c r="GH285" s="6"/>
      <c r="GI285" s="6"/>
      <c r="GJ285" s="6"/>
      <c r="GK285" s="6"/>
      <c r="GL285" s="6"/>
    </row>
    <row r="286" spans="1:194" x14ac:dyDescent="0.25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  <c r="AA286" s="67"/>
      <c r="AB286" s="67"/>
      <c r="AC286" s="67"/>
      <c r="AD286" s="67"/>
      <c r="AE286" s="67"/>
      <c r="AF286" s="67"/>
      <c r="AG286" s="67"/>
      <c r="AH286" s="67"/>
      <c r="AI286" s="67"/>
      <c r="AJ286" s="67"/>
      <c r="AK286" s="67"/>
      <c r="AL286" s="67"/>
      <c r="AM286" s="67"/>
      <c r="AN286" s="67"/>
      <c r="AO286" s="67"/>
      <c r="AP286" s="67"/>
      <c r="AQ286" s="67"/>
      <c r="AR286" s="67"/>
      <c r="AS286" s="67"/>
      <c r="AT286" s="67"/>
      <c r="AU286" s="67"/>
      <c r="AV286" s="67"/>
      <c r="AW286" s="67"/>
      <c r="AX286" s="67"/>
      <c r="AY286" s="67"/>
      <c r="AZ286" s="67"/>
      <c r="BA286" s="67"/>
      <c r="BB286" s="67"/>
      <c r="BC286" s="67"/>
      <c r="BD286" s="67"/>
      <c r="BE286" s="67"/>
      <c r="BF286" s="67"/>
      <c r="BG286" s="67"/>
      <c r="BH286" s="67"/>
      <c r="BI286" s="67"/>
      <c r="BJ286" s="67"/>
      <c r="BK286" s="67"/>
      <c r="BL286" s="67"/>
      <c r="BM286" s="67"/>
      <c r="BN286" s="67"/>
      <c r="BO286" s="67"/>
      <c r="BP286" s="67"/>
      <c r="BQ286" s="67"/>
      <c r="BR286" s="67"/>
      <c r="BS286" s="67"/>
      <c r="BT286" s="67"/>
      <c r="BU286" s="67"/>
      <c r="BV286" s="67"/>
      <c r="BW286" s="67"/>
      <c r="BX286" s="67"/>
      <c r="BY286" s="67"/>
      <c r="BZ286" s="67"/>
      <c r="CA286" s="67"/>
      <c r="CB286" s="67"/>
      <c r="CC286" s="67"/>
      <c r="CD286" s="67"/>
      <c r="CE286" s="67"/>
      <c r="CF286" s="67"/>
      <c r="CG286" s="67"/>
      <c r="CH286" s="67"/>
      <c r="CI286" s="67"/>
      <c r="CJ286" s="67"/>
      <c r="CK286" s="67"/>
      <c r="CL286" s="67"/>
      <c r="CM286" s="67"/>
      <c r="CN286" s="67"/>
      <c r="CO286" s="67"/>
      <c r="CP286" s="67"/>
      <c r="CQ286" s="67"/>
      <c r="CR286" s="67"/>
      <c r="CS286" s="67"/>
      <c r="CT286" s="67"/>
      <c r="CU286" s="67"/>
      <c r="CV286" s="67"/>
      <c r="CW286" s="67"/>
      <c r="CX286" s="67"/>
      <c r="CY286" s="67"/>
      <c r="CZ286" s="67"/>
      <c r="DA286" s="67"/>
      <c r="DB286" s="67"/>
      <c r="DC286" s="67"/>
      <c r="DD286" s="67"/>
      <c r="DE286" s="67"/>
      <c r="DF286" s="67"/>
      <c r="DG286" s="67"/>
      <c r="DH286" s="67"/>
      <c r="DI286" s="67"/>
      <c r="DJ286" s="67"/>
      <c r="DK286" s="67"/>
      <c r="DL286" s="67"/>
      <c r="DM286" s="67"/>
      <c r="DN286" s="67"/>
      <c r="DO286" s="67"/>
      <c r="DP286" s="67"/>
      <c r="DQ286" s="67"/>
      <c r="DR286" s="67"/>
      <c r="DS286" s="67"/>
      <c r="DT286" s="67"/>
      <c r="DU286" s="67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  <c r="ER286" s="6"/>
      <c r="ES286" s="6"/>
      <c r="ET286" s="6"/>
      <c r="EU286" s="6"/>
      <c r="EV286" s="6"/>
      <c r="EW286" s="6"/>
      <c r="EX286" s="6"/>
      <c r="EY286" s="6"/>
      <c r="EZ286" s="6"/>
      <c r="FA286" s="6"/>
      <c r="FB286" s="6"/>
      <c r="FC286" s="6"/>
      <c r="FD286" s="6"/>
      <c r="FE286" s="6"/>
      <c r="FF286" s="6"/>
      <c r="FG286" s="6"/>
      <c r="FH286" s="6"/>
      <c r="FI286" s="6"/>
      <c r="FJ286" s="6"/>
      <c r="FK286" s="6"/>
      <c r="FL286" s="6"/>
      <c r="FM286" s="6"/>
      <c r="FN286" s="6"/>
      <c r="FO286" s="6"/>
      <c r="FP286" s="6"/>
      <c r="FQ286" s="6"/>
      <c r="FR286" s="6"/>
      <c r="FS286" s="6"/>
      <c r="FT286" s="6"/>
      <c r="FU286" s="6"/>
      <c r="FV286" s="6"/>
      <c r="FW286" s="6"/>
      <c r="FX286" s="6"/>
      <c r="FY286" s="6"/>
      <c r="FZ286" s="6"/>
      <c r="GA286" s="6"/>
      <c r="GB286" s="6"/>
      <c r="GC286" s="6"/>
      <c r="GD286" s="6"/>
      <c r="GE286" s="6"/>
      <c r="GF286" s="6"/>
      <c r="GG286" s="6"/>
      <c r="GH286" s="6"/>
      <c r="GI286" s="6"/>
      <c r="GJ286" s="6"/>
      <c r="GK286" s="6"/>
      <c r="GL286" s="6"/>
    </row>
    <row r="287" spans="1:194" x14ac:dyDescent="0.25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  <c r="AA287" s="67"/>
      <c r="AB287" s="67"/>
      <c r="AC287" s="67"/>
      <c r="AD287" s="67"/>
      <c r="AE287" s="67"/>
      <c r="AF287" s="67"/>
      <c r="AG287" s="67"/>
      <c r="AH287" s="67"/>
      <c r="AI287" s="67"/>
      <c r="AJ287" s="67"/>
      <c r="AK287" s="67"/>
      <c r="AL287" s="67"/>
      <c r="AM287" s="67"/>
      <c r="AN287" s="67"/>
      <c r="AO287" s="67"/>
      <c r="AP287" s="67"/>
      <c r="AQ287" s="67"/>
      <c r="AR287" s="67"/>
      <c r="AS287" s="67"/>
      <c r="AT287" s="67"/>
      <c r="AU287" s="67"/>
      <c r="AV287" s="67"/>
      <c r="AW287" s="67"/>
      <c r="AX287" s="67"/>
      <c r="AY287" s="67"/>
      <c r="AZ287" s="67"/>
      <c r="BA287" s="67"/>
      <c r="BB287" s="67"/>
      <c r="BC287" s="67"/>
      <c r="BD287" s="67"/>
      <c r="BE287" s="67"/>
      <c r="BF287" s="67"/>
      <c r="BG287" s="67"/>
      <c r="BH287" s="67"/>
      <c r="BI287" s="67"/>
      <c r="BJ287" s="67"/>
      <c r="BK287" s="67"/>
      <c r="BL287" s="67"/>
      <c r="BM287" s="67"/>
      <c r="BN287" s="67"/>
      <c r="BO287" s="67"/>
      <c r="BP287" s="67"/>
      <c r="BQ287" s="67"/>
      <c r="BR287" s="67"/>
      <c r="BS287" s="67"/>
      <c r="BT287" s="67"/>
      <c r="BU287" s="67"/>
      <c r="BV287" s="67"/>
      <c r="BW287" s="67"/>
      <c r="BX287" s="67"/>
      <c r="BY287" s="67"/>
      <c r="BZ287" s="67"/>
      <c r="CA287" s="67"/>
      <c r="CB287" s="67"/>
      <c r="CC287" s="67"/>
      <c r="CD287" s="67"/>
      <c r="CE287" s="67"/>
      <c r="CF287" s="67"/>
      <c r="CG287" s="67"/>
      <c r="CH287" s="67"/>
      <c r="CI287" s="67"/>
      <c r="CJ287" s="67"/>
      <c r="CK287" s="67"/>
      <c r="CL287" s="67"/>
      <c r="CM287" s="67"/>
      <c r="CN287" s="67"/>
      <c r="CO287" s="67"/>
      <c r="CP287" s="67"/>
      <c r="CQ287" s="67"/>
      <c r="CR287" s="67"/>
      <c r="CS287" s="67"/>
      <c r="CT287" s="67"/>
      <c r="CU287" s="67"/>
      <c r="CV287" s="67"/>
      <c r="CW287" s="67"/>
      <c r="CX287" s="67"/>
      <c r="CY287" s="67"/>
      <c r="CZ287" s="67"/>
      <c r="DA287" s="67"/>
      <c r="DB287" s="67"/>
      <c r="DC287" s="67"/>
      <c r="DD287" s="67"/>
      <c r="DE287" s="67"/>
      <c r="DF287" s="67"/>
      <c r="DG287" s="67"/>
      <c r="DH287" s="67"/>
      <c r="DI287" s="67"/>
      <c r="DJ287" s="67"/>
      <c r="DK287" s="67"/>
      <c r="DL287" s="67"/>
      <c r="DM287" s="67"/>
      <c r="DN287" s="67"/>
      <c r="DO287" s="67"/>
      <c r="DP287" s="67"/>
      <c r="DQ287" s="67"/>
      <c r="DR287" s="67"/>
      <c r="DS287" s="67"/>
      <c r="DT287" s="67"/>
      <c r="DU287" s="67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  <c r="ER287" s="6"/>
      <c r="ES287" s="6"/>
      <c r="ET287" s="6"/>
      <c r="EU287" s="6"/>
      <c r="EV287" s="6"/>
      <c r="EW287" s="6"/>
      <c r="EX287" s="6"/>
      <c r="EY287" s="6"/>
      <c r="EZ287" s="6"/>
      <c r="FA287" s="6"/>
      <c r="FB287" s="6"/>
      <c r="FC287" s="6"/>
      <c r="FD287" s="6"/>
      <c r="FE287" s="6"/>
      <c r="FF287" s="6"/>
      <c r="FG287" s="6"/>
      <c r="FH287" s="6"/>
      <c r="FI287" s="6"/>
      <c r="FJ287" s="6"/>
      <c r="FK287" s="6"/>
      <c r="FL287" s="6"/>
      <c r="FM287" s="6"/>
      <c r="FN287" s="6"/>
      <c r="FO287" s="6"/>
      <c r="FP287" s="6"/>
      <c r="FQ287" s="6"/>
      <c r="FR287" s="6"/>
      <c r="FS287" s="6"/>
      <c r="FT287" s="6"/>
      <c r="FU287" s="6"/>
      <c r="FV287" s="6"/>
      <c r="FW287" s="6"/>
      <c r="FX287" s="6"/>
      <c r="FY287" s="6"/>
      <c r="FZ287" s="6"/>
      <c r="GA287" s="6"/>
      <c r="GB287" s="6"/>
      <c r="GC287" s="6"/>
      <c r="GD287" s="6"/>
      <c r="GE287" s="6"/>
      <c r="GF287" s="6"/>
      <c r="GG287" s="6"/>
      <c r="GH287" s="6"/>
      <c r="GI287" s="6"/>
      <c r="GJ287" s="6"/>
      <c r="GK287" s="6"/>
      <c r="GL287" s="6"/>
    </row>
    <row r="288" spans="1:194" x14ac:dyDescent="0.25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  <c r="AA288" s="67"/>
      <c r="AB288" s="67"/>
      <c r="AC288" s="67"/>
      <c r="AD288" s="67"/>
      <c r="AE288" s="67"/>
      <c r="AF288" s="67"/>
      <c r="AG288" s="67"/>
      <c r="AH288" s="67"/>
      <c r="AI288" s="67"/>
      <c r="AJ288" s="67"/>
      <c r="AK288" s="67"/>
      <c r="AL288" s="67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  <c r="AX288" s="67"/>
      <c r="AY288" s="67"/>
      <c r="AZ288" s="67"/>
      <c r="BA288" s="67"/>
      <c r="BB288" s="67"/>
      <c r="BC288" s="67"/>
      <c r="BD288" s="67"/>
      <c r="BE288" s="67"/>
      <c r="BF288" s="67"/>
      <c r="BG288" s="67"/>
      <c r="BH288" s="67"/>
      <c r="BI288" s="67"/>
      <c r="BJ288" s="67"/>
      <c r="BK288" s="67"/>
      <c r="BL288" s="67"/>
      <c r="BM288" s="67"/>
      <c r="BN288" s="67"/>
      <c r="BO288" s="67"/>
      <c r="BP288" s="67"/>
      <c r="BQ288" s="67"/>
      <c r="BR288" s="67"/>
      <c r="BS288" s="67"/>
      <c r="BT288" s="67"/>
      <c r="BU288" s="67"/>
      <c r="BV288" s="67"/>
      <c r="BW288" s="67"/>
      <c r="BX288" s="67"/>
      <c r="BY288" s="67"/>
      <c r="BZ288" s="67"/>
      <c r="CA288" s="67"/>
      <c r="CB288" s="67"/>
      <c r="CC288" s="67"/>
      <c r="CD288" s="67"/>
      <c r="CE288" s="67"/>
      <c r="CF288" s="67"/>
      <c r="CG288" s="67"/>
      <c r="CH288" s="67"/>
      <c r="CI288" s="67"/>
      <c r="CJ288" s="67"/>
      <c r="CK288" s="67"/>
      <c r="CL288" s="67"/>
      <c r="CM288" s="67"/>
      <c r="CN288" s="67"/>
      <c r="CO288" s="67"/>
      <c r="CP288" s="67"/>
      <c r="CQ288" s="67"/>
      <c r="CR288" s="67"/>
      <c r="CS288" s="67"/>
      <c r="CT288" s="67"/>
      <c r="CU288" s="67"/>
      <c r="CV288" s="67"/>
      <c r="CW288" s="67"/>
      <c r="CX288" s="67"/>
      <c r="CY288" s="67"/>
      <c r="CZ288" s="67"/>
      <c r="DA288" s="67"/>
      <c r="DB288" s="67"/>
      <c r="DC288" s="67"/>
      <c r="DD288" s="67"/>
      <c r="DE288" s="67"/>
      <c r="DF288" s="67"/>
      <c r="DG288" s="67"/>
      <c r="DH288" s="67"/>
      <c r="DI288" s="67"/>
      <c r="DJ288" s="67"/>
      <c r="DK288" s="67"/>
      <c r="DL288" s="67"/>
      <c r="DM288" s="67"/>
      <c r="DN288" s="67"/>
      <c r="DO288" s="67"/>
      <c r="DP288" s="67"/>
      <c r="DQ288" s="67"/>
      <c r="DR288" s="67"/>
      <c r="DS288" s="67"/>
      <c r="DT288" s="67"/>
      <c r="DU288" s="67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  <c r="ER288" s="6"/>
      <c r="ES288" s="6"/>
      <c r="ET288" s="6"/>
      <c r="EU288" s="6"/>
      <c r="EV288" s="6"/>
      <c r="EW288" s="6"/>
      <c r="EX288" s="6"/>
      <c r="EY288" s="6"/>
      <c r="EZ288" s="6"/>
      <c r="FA288" s="6"/>
      <c r="FB288" s="6"/>
      <c r="FC288" s="6"/>
      <c r="FD288" s="6"/>
      <c r="FE288" s="6"/>
      <c r="FF288" s="6"/>
      <c r="FG288" s="6"/>
      <c r="FH288" s="6"/>
      <c r="FI288" s="6"/>
      <c r="FJ288" s="6"/>
      <c r="FK288" s="6"/>
      <c r="FL288" s="6"/>
      <c r="FM288" s="6"/>
      <c r="FN288" s="6"/>
      <c r="FO288" s="6"/>
      <c r="FP288" s="6"/>
      <c r="FQ288" s="6"/>
      <c r="FR288" s="6"/>
      <c r="FS288" s="6"/>
      <c r="FT288" s="6"/>
      <c r="FU288" s="6"/>
      <c r="FV288" s="6"/>
      <c r="FW288" s="6"/>
      <c r="FX288" s="6"/>
      <c r="FY288" s="6"/>
      <c r="FZ288" s="6"/>
      <c r="GA288" s="6"/>
      <c r="GB288" s="6"/>
      <c r="GC288" s="6"/>
      <c r="GD288" s="6"/>
      <c r="GE288" s="6"/>
      <c r="GF288" s="6"/>
      <c r="GG288" s="6"/>
      <c r="GH288" s="6"/>
      <c r="GI288" s="6"/>
      <c r="GJ288" s="6"/>
      <c r="GK288" s="6"/>
      <c r="GL288" s="6"/>
    </row>
    <row r="289" spans="1:194" x14ac:dyDescent="0.25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  <c r="AF289" s="67"/>
      <c r="AG289" s="67"/>
      <c r="AH289" s="67"/>
      <c r="AI289" s="67"/>
      <c r="AJ289" s="67"/>
      <c r="AK289" s="67"/>
      <c r="AL289" s="67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  <c r="BI289" s="67"/>
      <c r="BJ289" s="67"/>
      <c r="BK289" s="67"/>
      <c r="BL289" s="67"/>
      <c r="BM289" s="67"/>
      <c r="BN289" s="67"/>
      <c r="BO289" s="67"/>
      <c r="BP289" s="67"/>
      <c r="BQ289" s="67"/>
      <c r="BR289" s="67"/>
      <c r="BS289" s="67"/>
      <c r="BT289" s="67"/>
      <c r="BU289" s="67"/>
      <c r="BV289" s="67"/>
      <c r="BW289" s="67"/>
      <c r="BX289" s="67"/>
      <c r="BY289" s="67"/>
      <c r="BZ289" s="67"/>
      <c r="CA289" s="67"/>
      <c r="CB289" s="67"/>
      <c r="CC289" s="67"/>
      <c r="CD289" s="67"/>
      <c r="CE289" s="67"/>
      <c r="CF289" s="67"/>
      <c r="CG289" s="67"/>
      <c r="CH289" s="67"/>
      <c r="CI289" s="67"/>
      <c r="CJ289" s="67"/>
      <c r="CK289" s="67"/>
      <c r="CL289" s="67"/>
      <c r="CM289" s="67"/>
      <c r="CN289" s="67"/>
      <c r="CO289" s="67"/>
      <c r="CP289" s="67"/>
      <c r="CQ289" s="67"/>
      <c r="CR289" s="67"/>
      <c r="CS289" s="67"/>
      <c r="CT289" s="67"/>
      <c r="CU289" s="67"/>
      <c r="CV289" s="67"/>
      <c r="CW289" s="67"/>
      <c r="CX289" s="67"/>
      <c r="CY289" s="67"/>
      <c r="CZ289" s="67"/>
      <c r="DA289" s="67"/>
      <c r="DB289" s="67"/>
      <c r="DC289" s="67"/>
      <c r="DD289" s="67"/>
      <c r="DE289" s="67"/>
      <c r="DF289" s="67"/>
      <c r="DG289" s="67"/>
      <c r="DH289" s="67"/>
      <c r="DI289" s="67"/>
      <c r="DJ289" s="67"/>
      <c r="DK289" s="67"/>
      <c r="DL289" s="67"/>
      <c r="DM289" s="67"/>
      <c r="DN289" s="67"/>
      <c r="DO289" s="67"/>
      <c r="DP289" s="67"/>
      <c r="DQ289" s="67"/>
      <c r="DR289" s="67"/>
      <c r="DS289" s="67"/>
      <c r="DT289" s="67"/>
      <c r="DU289" s="67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  <c r="ER289" s="6"/>
      <c r="ES289" s="6"/>
      <c r="ET289" s="6"/>
      <c r="EU289" s="6"/>
      <c r="EV289" s="6"/>
      <c r="EW289" s="6"/>
      <c r="EX289" s="6"/>
      <c r="EY289" s="6"/>
      <c r="EZ289" s="6"/>
      <c r="FA289" s="6"/>
      <c r="FB289" s="6"/>
      <c r="FC289" s="6"/>
      <c r="FD289" s="6"/>
      <c r="FE289" s="6"/>
      <c r="FF289" s="6"/>
      <c r="FG289" s="6"/>
      <c r="FH289" s="6"/>
      <c r="FI289" s="6"/>
      <c r="FJ289" s="6"/>
      <c r="FK289" s="6"/>
      <c r="FL289" s="6"/>
      <c r="FM289" s="6"/>
      <c r="FN289" s="6"/>
      <c r="FO289" s="6"/>
      <c r="FP289" s="6"/>
      <c r="FQ289" s="6"/>
      <c r="FR289" s="6"/>
      <c r="FS289" s="6"/>
      <c r="FT289" s="6"/>
      <c r="FU289" s="6"/>
      <c r="FV289" s="6"/>
      <c r="FW289" s="6"/>
      <c r="FX289" s="6"/>
      <c r="FY289" s="6"/>
      <c r="FZ289" s="6"/>
      <c r="GA289" s="6"/>
      <c r="GB289" s="6"/>
      <c r="GC289" s="6"/>
      <c r="GD289" s="6"/>
      <c r="GE289" s="6"/>
      <c r="GF289" s="6"/>
      <c r="GG289" s="6"/>
      <c r="GH289" s="6"/>
      <c r="GI289" s="6"/>
      <c r="GJ289" s="6"/>
      <c r="GK289" s="6"/>
      <c r="GL289" s="6"/>
    </row>
    <row r="290" spans="1:194" x14ac:dyDescent="0.25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  <c r="AA290" s="67"/>
      <c r="AB290" s="67"/>
      <c r="AC290" s="67"/>
      <c r="AD290" s="67"/>
      <c r="AE290" s="67"/>
      <c r="AF290" s="67"/>
      <c r="AG290" s="67"/>
      <c r="AH290" s="67"/>
      <c r="AI290" s="67"/>
      <c r="AJ290" s="67"/>
      <c r="AK290" s="67"/>
      <c r="AL290" s="67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  <c r="AX290" s="67"/>
      <c r="AY290" s="67"/>
      <c r="AZ290" s="67"/>
      <c r="BA290" s="67"/>
      <c r="BB290" s="67"/>
      <c r="BC290" s="67"/>
      <c r="BD290" s="67"/>
      <c r="BE290" s="67"/>
      <c r="BF290" s="67"/>
      <c r="BG290" s="67"/>
      <c r="BH290" s="67"/>
      <c r="BI290" s="67"/>
      <c r="BJ290" s="67"/>
      <c r="BK290" s="67"/>
      <c r="BL290" s="67"/>
      <c r="BM290" s="67"/>
      <c r="BN290" s="67"/>
      <c r="BO290" s="67"/>
      <c r="BP290" s="67"/>
      <c r="BQ290" s="67"/>
      <c r="BR290" s="67"/>
      <c r="BS290" s="67"/>
      <c r="BT290" s="67"/>
      <c r="BU290" s="67"/>
      <c r="BV290" s="67"/>
      <c r="BW290" s="67"/>
      <c r="BX290" s="67"/>
      <c r="BY290" s="67"/>
      <c r="BZ290" s="67"/>
      <c r="CA290" s="67"/>
      <c r="CB290" s="67"/>
      <c r="CC290" s="67"/>
      <c r="CD290" s="67"/>
      <c r="CE290" s="67"/>
      <c r="CF290" s="67"/>
      <c r="CG290" s="67"/>
      <c r="CH290" s="67"/>
      <c r="CI290" s="67"/>
      <c r="CJ290" s="67"/>
      <c r="CK290" s="67"/>
      <c r="CL290" s="67"/>
      <c r="CM290" s="67"/>
      <c r="CN290" s="67"/>
      <c r="CO290" s="67"/>
      <c r="CP290" s="67"/>
      <c r="CQ290" s="67"/>
      <c r="CR290" s="67"/>
      <c r="CS290" s="67"/>
      <c r="CT290" s="67"/>
      <c r="CU290" s="67"/>
      <c r="CV290" s="67"/>
      <c r="CW290" s="67"/>
      <c r="CX290" s="67"/>
      <c r="CY290" s="67"/>
      <c r="CZ290" s="67"/>
      <c r="DA290" s="67"/>
      <c r="DB290" s="67"/>
      <c r="DC290" s="67"/>
      <c r="DD290" s="67"/>
      <c r="DE290" s="67"/>
      <c r="DF290" s="67"/>
      <c r="DG290" s="67"/>
      <c r="DH290" s="67"/>
      <c r="DI290" s="67"/>
      <c r="DJ290" s="67"/>
      <c r="DK290" s="67"/>
      <c r="DL290" s="67"/>
      <c r="DM290" s="67"/>
      <c r="DN290" s="67"/>
      <c r="DO290" s="67"/>
      <c r="DP290" s="67"/>
      <c r="DQ290" s="67"/>
      <c r="DR290" s="67"/>
      <c r="DS290" s="67"/>
      <c r="DT290" s="67"/>
      <c r="DU290" s="67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  <c r="ER290" s="6"/>
      <c r="ES290" s="6"/>
      <c r="ET290" s="6"/>
      <c r="EU290" s="6"/>
      <c r="EV290" s="6"/>
      <c r="EW290" s="6"/>
      <c r="EX290" s="6"/>
      <c r="EY290" s="6"/>
      <c r="EZ290" s="6"/>
      <c r="FA290" s="6"/>
      <c r="FB290" s="6"/>
      <c r="FC290" s="6"/>
      <c r="FD290" s="6"/>
      <c r="FE290" s="6"/>
      <c r="FF290" s="6"/>
      <c r="FG290" s="6"/>
      <c r="FH290" s="6"/>
      <c r="FI290" s="6"/>
      <c r="FJ290" s="6"/>
      <c r="FK290" s="6"/>
      <c r="FL290" s="6"/>
      <c r="FM290" s="6"/>
      <c r="FN290" s="6"/>
      <c r="FO290" s="6"/>
      <c r="FP290" s="6"/>
      <c r="FQ290" s="6"/>
      <c r="FR290" s="6"/>
      <c r="FS290" s="6"/>
      <c r="FT290" s="6"/>
      <c r="FU290" s="6"/>
      <c r="FV290" s="6"/>
      <c r="FW290" s="6"/>
      <c r="FX290" s="6"/>
      <c r="FY290" s="6"/>
      <c r="FZ290" s="6"/>
      <c r="GA290" s="6"/>
      <c r="GB290" s="6"/>
      <c r="GC290" s="6"/>
      <c r="GD290" s="6"/>
      <c r="GE290" s="6"/>
      <c r="GF290" s="6"/>
      <c r="GG290" s="6"/>
      <c r="GH290" s="6"/>
      <c r="GI290" s="6"/>
      <c r="GJ290" s="6"/>
      <c r="GK290" s="6"/>
      <c r="GL290" s="6"/>
    </row>
    <row r="291" spans="1:194" x14ac:dyDescent="0.25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  <c r="AA291" s="67"/>
      <c r="AB291" s="67"/>
      <c r="AC291" s="67"/>
      <c r="AD291" s="67"/>
      <c r="AE291" s="67"/>
      <c r="AF291" s="67"/>
      <c r="AG291" s="67"/>
      <c r="AH291" s="67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7"/>
      <c r="AT291" s="67"/>
      <c r="AU291" s="67"/>
      <c r="AV291" s="67"/>
      <c r="AW291" s="67"/>
      <c r="AX291" s="67"/>
      <c r="AY291" s="67"/>
      <c r="AZ291" s="67"/>
      <c r="BA291" s="67"/>
      <c r="BB291" s="67"/>
      <c r="BC291" s="67"/>
      <c r="BD291" s="67"/>
      <c r="BE291" s="67"/>
      <c r="BF291" s="67"/>
      <c r="BG291" s="67"/>
      <c r="BH291" s="67"/>
      <c r="BI291" s="67"/>
      <c r="BJ291" s="67"/>
      <c r="BK291" s="67"/>
      <c r="BL291" s="67"/>
      <c r="BM291" s="67"/>
      <c r="BN291" s="67"/>
      <c r="BO291" s="67"/>
      <c r="BP291" s="67"/>
      <c r="BQ291" s="67"/>
      <c r="BR291" s="67"/>
      <c r="BS291" s="67"/>
      <c r="BT291" s="67"/>
      <c r="BU291" s="67"/>
      <c r="BV291" s="67"/>
      <c r="BW291" s="67"/>
      <c r="BX291" s="67"/>
      <c r="BY291" s="67"/>
      <c r="BZ291" s="67"/>
      <c r="CA291" s="67"/>
      <c r="CB291" s="67"/>
      <c r="CC291" s="67"/>
      <c r="CD291" s="67"/>
      <c r="CE291" s="67"/>
      <c r="CF291" s="67"/>
      <c r="CG291" s="67"/>
      <c r="CH291" s="67"/>
      <c r="CI291" s="67"/>
      <c r="CJ291" s="67"/>
      <c r="CK291" s="67"/>
      <c r="CL291" s="67"/>
      <c r="CM291" s="67"/>
      <c r="CN291" s="67"/>
      <c r="CO291" s="67"/>
      <c r="CP291" s="67"/>
      <c r="CQ291" s="67"/>
      <c r="CR291" s="67"/>
      <c r="CS291" s="67"/>
      <c r="CT291" s="67"/>
      <c r="CU291" s="67"/>
      <c r="CV291" s="67"/>
      <c r="CW291" s="67"/>
      <c r="CX291" s="67"/>
      <c r="CY291" s="67"/>
      <c r="CZ291" s="67"/>
      <c r="DA291" s="67"/>
      <c r="DB291" s="67"/>
      <c r="DC291" s="67"/>
      <c r="DD291" s="67"/>
      <c r="DE291" s="67"/>
      <c r="DF291" s="67"/>
      <c r="DG291" s="67"/>
      <c r="DH291" s="67"/>
      <c r="DI291" s="67"/>
      <c r="DJ291" s="67"/>
      <c r="DK291" s="67"/>
      <c r="DL291" s="67"/>
      <c r="DM291" s="67"/>
      <c r="DN291" s="67"/>
      <c r="DO291" s="67"/>
      <c r="DP291" s="67"/>
      <c r="DQ291" s="67"/>
      <c r="DR291" s="67"/>
      <c r="DS291" s="67"/>
      <c r="DT291" s="67"/>
      <c r="DU291" s="67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  <c r="ER291" s="6"/>
      <c r="ES291" s="6"/>
      <c r="ET291" s="6"/>
      <c r="EU291" s="6"/>
      <c r="EV291" s="6"/>
      <c r="EW291" s="6"/>
      <c r="EX291" s="6"/>
      <c r="EY291" s="6"/>
      <c r="EZ291" s="6"/>
      <c r="FA291" s="6"/>
      <c r="FB291" s="6"/>
      <c r="FC291" s="6"/>
      <c r="FD291" s="6"/>
      <c r="FE291" s="6"/>
      <c r="FF291" s="6"/>
      <c r="FG291" s="6"/>
      <c r="FH291" s="6"/>
      <c r="FI291" s="6"/>
      <c r="FJ291" s="6"/>
      <c r="FK291" s="6"/>
      <c r="FL291" s="6"/>
      <c r="FM291" s="6"/>
      <c r="FN291" s="6"/>
      <c r="FO291" s="6"/>
      <c r="FP291" s="6"/>
      <c r="FQ291" s="6"/>
      <c r="FR291" s="6"/>
      <c r="FS291" s="6"/>
      <c r="FT291" s="6"/>
      <c r="FU291" s="6"/>
      <c r="FV291" s="6"/>
      <c r="FW291" s="6"/>
      <c r="FX291" s="6"/>
      <c r="FY291" s="6"/>
      <c r="FZ291" s="6"/>
      <c r="GA291" s="6"/>
      <c r="GB291" s="6"/>
      <c r="GC291" s="6"/>
      <c r="GD291" s="6"/>
      <c r="GE291" s="6"/>
      <c r="GF291" s="6"/>
      <c r="GG291" s="6"/>
      <c r="GH291" s="6"/>
      <c r="GI291" s="6"/>
      <c r="GJ291" s="6"/>
      <c r="GK291" s="6"/>
      <c r="GL291" s="6"/>
    </row>
    <row r="292" spans="1:194" x14ac:dyDescent="0.25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  <c r="AA292" s="67"/>
      <c r="AB292" s="67"/>
      <c r="AC292" s="67"/>
      <c r="AD292" s="67"/>
      <c r="AE292" s="67"/>
      <c r="AF292" s="67"/>
      <c r="AG292" s="67"/>
      <c r="AH292" s="67"/>
      <c r="AI292" s="67"/>
      <c r="AJ292" s="67"/>
      <c r="AK292" s="67"/>
      <c r="AL292" s="67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  <c r="BB292" s="67"/>
      <c r="BC292" s="67"/>
      <c r="BD292" s="67"/>
      <c r="BE292" s="67"/>
      <c r="BF292" s="67"/>
      <c r="BG292" s="67"/>
      <c r="BH292" s="67"/>
      <c r="BI292" s="67"/>
      <c r="BJ292" s="67"/>
      <c r="BK292" s="67"/>
      <c r="BL292" s="67"/>
      <c r="BM292" s="67"/>
      <c r="BN292" s="67"/>
      <c r="BO292" s="67"/>
      <c r="BP292" s="67"/>
      <c r="BQ292" s="67"/>
      <c r="BR292" s="67"/>
      <c r="BS292" s="67"/>
      <c r="BT292" s="67"/>
      <c r="BU292" s="67"/>
      <c r="BV292" s="67"/>
      <c r="BW292" s="67"/>
      <c r="BX292" s="67"/>
      <c r="BY292" s="67"/>
      <c r="BZ292" s="67"/>
      <c r="CA292" s="67"/>
      <c r="CB292" s="67"/>
      <c r="CC292" s="67"/>
      <c r="CD292" s="67"/>
      <c r="CE292" s="67"/>
      <c r="CF292" s="67"/>
      <c r="CG292" s="67"/>
      <c r="CH292" s="67"/>
      <c r="CI292" s="67"/>
      <c r="CJ292" s="67"/>
      <c r="CK292" s="67"/>
      <c r="CL292" s="67"/>
      <c r="CM292" s="67"/>
      <c r="CN292" s="67"/>
      <c r="CO292" s="67"/>
      <c r="CP292" s="67"/>
      <c r="CQ292" s="67"/>
      <c r="CR292" s="67"/>
      <c r="CS292" s="67"/>
      <c r="CT292" s="67"/>
      <c r="CU292" s="67"/>
      <c r="CV292" s="67"/>
      <c r="CW292" s="67"/>
      <c r="CX292" s="67"/>
      <c r="CY292" s="67"/>
      <c r="CZ292" s="67"/>
      <c r="DA292" s="67"/>
      <c r="DB292" s="67"/>
      <c r="DC292" s="67"/>
      <c r="DD292" s="67"/>
      <c r="DE292" s="67"/>
      <c r="DF292" s="67"/>
      <c r="DG292" s="67"/>
      <c r="DH292" s="67"/>
      <c r="DI292" s="67"/>
      <c r="DJ292" s="67"/>
      <c r="DK292" s="67"/>
      <c r="DL292" s="67"/>
      <c r="DM292" s="67"/>
      <c r="DN292" s="67"/>
      <c r="DO292" s="67"/>
      <c r="DP292" s="67"/>
      <c r="DQ292" s="67"/>
      <c r="DR292" s="67"/>
      <c r="DS292" s="67"/>
      <c r="DT292" s="67"/>
      <c r="DU292" s="67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  <c r="ER292" s="6"/>
      <c r="ES292" s="6"/>
      <c r="ET292" s="6"/>
      <c r="EU292" s="6"/>
      <c r="EV292" s="6"/>
      <c r="EW292" s="6"/>
      <c r="EX292" s="6"/>
      <c r="EY292" s="6"/>
      <c r="EZ292" s="6"/>
      <c r="FA292" s="6"/>
      <c r="FB292" s="6"/>
      <c r="FC292" s="6"/>
      <c r="FD292" s="6"/>
      <c r="FE292" s="6"/>
      <c r="FF292" s="6"/>
      <c r="FG292" s="6"/>
      <c r="FH292" s="6"/>
      <c r="FI292" s="6"/>
      <c r="FJ292" s="6"/>
      <c r="FK292" s="6"/>
      <c r="FL292" s="6"/>
      <c r="FM292" s="6"/>
      <c r="FN292" s="6"/>
      <c r="FO292" s="6"/>
      <c r="FP292" s="6"/>
      <c r="FQ292" s="6"/>
      <c r="FR292" s="6"/>
      <c r="FS292" s="6"/>
      <c r="FT292" s="6"/>
      <c r="FU292" s="6"/>
      <c r="FV292" s="6"/>
      <c r="FW292" s="6"/>
      <c r="FX292" s="6"/>
      <c r="FY292" s="6"/>
      <c r="FZ292" s="6"/>
      <c r="GA292" s="6"/>
      <c r="GB292" s="6"/>
      <c r="GC292" s="6"/>
      <c r="GD292" s="6"/>
      <c r="GE292" s="6"/>
      <c r="GF292" s="6"/>
      <c r="GG292" s="6"/>
      <c r="GH292" s="6"/>
      <c r="GI292" s="6"/>
      <c r="GJ292" s="6"/>
      <c r="GK292" s="6"/>
      <c r="GL292" s="6"/>
    </row>
    <row r="293" spans="1:194" x14ac:dyDescent="0.25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  <c r="AA293" s="67"/>
      <c r="AB293" s="67"/>
      <c r="AC293" s="67"/>
      <c r="AD293" s="67"/>
      <c r="AE293" s="67"/>
      <c r="AF293" s="67"/>
      <c r="AG293" s="67"/>
      <c r="AH293" s="67"/>
      <c r="AI293" s="67"/>
      <c r="AJ293" s="67"/>
      <c r="AK293" s="67"/>
      <c r="AL293" s="67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  <c r="BB293" s="67"/>
      <c r="BC293" s="67"/>
      <c r="BD293" s="67"/>
      <c r="BE293" s="67"/>
      <c r="BF293" s="67"/>
      <c r="BG293" s="67"/>
      <c r="BH293" s="67"/>
      <c r="BI293" s="67"/>
      <c r="BJ293" s="67"/>
      <c r="BK293" s="67"/>
      <c r="BL293" s="67"/>
      <c r="BM293" s="67"/>
      <c r="BN293" s="67"/>
      <c r="BO293" s="67"/>
      <c r="BP293" s="67"/>
      <c r="BQ293" s="67"/>
      <c r="BR293" s="67"/>
      <c r="BS293" s="67"/>
      <c r="BT293" s="67"/>
      <c r="BU293" s="67"/>
      <c r="BV293" s="67"/>
      <c r="BW293" s="67"/>
      <c r="BX293" s="67"/>
      <c r="BY293" s="67"/>
      <c r="BZ293" s="67"/>
      <c r="CA293" s="67"/>
      <c r="CB293" s="67"/>
      <c r="CC293" s="67"/>
      <c r="CD293" s="67"/>
      <c r="CE293" s="67"/>
      <c r="CF293" s="67"/>
      <c r="CG293" s="67"/>
      <c r="CH293" s="67"/>
      <c r="CI293" s="67"/>
      <c r="CJ293" s="67"/>
      <c r="CK293" s="67"/>
      <c r="CL293" s="67"/>
      <c r="CM293" s="67"/>
      <c r="CN293" s="67"/>
      <c r="CO293" s="67"/>
      <c r="CP293" s="67"/>
      <c r="CQ293" s="67"/>
      <c r="CR293" s="67"/>
      <c r="CS293" s="67"/>
      <c r="CT293" s="67"/>
      <c r="CU293" s="67"/>
      <c r="CV293" s="67"/>
      <c r="CW293" s="67"/>
      <c r="CX293" s="67"/>
      <c r="CY293" s="67"/>
      <c r="CZ293" s="67"/>
      <c r="DA293" s="67"/>
      <c r="DB293" s="67"/>
      <c r="DC293" s="67"/>
      <c r="DD293" s="67"/>
      <c r="DE293" s="67"/>
      <c r="DF293" s="67"/>
      <c r="DG293" s="67"/>
      <c r="DH293" s="67"/>
      <c r="DI293" s="67"/>
      <c r="DJ293" s="67"/>
      <c r="DK293" s="67"/>
      <c r="DL293" s="67"/>
      <c r="DM293" s="67"/>
      <c r="DN293" s="67"/>
      <c r="DO293" s="67"/>
      <c r="DP293" s="67"/>
      <c r="DQ293" s="67"/>
      <c r="DR293" s="67"/>
      <c r="DS293" s="67"/>
      <c r="DT293" s="67"/>
      <c r="DU293" s="67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  <c r="ER293" s="6"/>
      <c r="ES293" s="6"/>
      <c r="ET293" s="6"/>
      <c r="EU293" s="6"/>
      <c r="EV293" s="6"/>
      <c r="EW293" s="6"/>
      <c r="EX293" s="6"/>
      <c r="EY293" s="6"/>
      <c r="EZ293" s="6"/>
      <c r="FA293" s="6"/>
      <c r="FB293" s="6"/>
      <c r="FC293" s="6"/>
      <c r="FD293" s="6"/>
      <c r="FE293" s="6"/>
      <c r="FF293" s="6"/>
      <c r="FG293" s="6"/>
      <c r="FH293" s="6"/>
      <c r="FI293" s="6"/>
      <c r="FJ293" s="6"/>
      <c r="FK293" s="6"/>
      <c r="FL293" s="6"/>
      <c r="FM293" s="6"/>
      <c r="FN293" s="6"/>
      <c r="FO293" s="6"/>
      <c r="FP293" s="6"/>
      <c r="FQ293" s="6"/>
      <c r="FR293" s="6"/>
      <c r="FS293" s="6"/>
      <c r="FT293" s="6"/>
      <c r="FU293" s="6"/>
      <c r="FV293" s="6"/>
      <c r="FW293" s="6"/>
      <c r="FX293" s="6"/>
      <c r="FY293" s="6"/>
      <c r="FZ293" s="6"/>
      <c r="GA293" s="6"/>
      <c r="GB293" s="6"/>
      <c r="GC293" s="6"/>
      <c r="GD293" s="6"/>
      <c r="GE293" s="6"/>
      <c r="GF293" s="6"/>
      <c r="GG293" s="6"/>
      <c r="GH293" s="6"/>
      <c r="GI293" s="6"/>
      <c r="GJ293" s="6"/>
      <c r="GK293" s="6"/>
      <c r="GL293" s="6"/>
    </row>
    <row r="294" spans="1:194" x14ac:dyDescent="0.25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  <c r="AA294" s="67"/>
      <c r="AB294" s="67"/>
      <c r="AC294" s="67"/>
      <c r="AD294" s="67"/>
      <c r="AE294" s="67"/>
      <c r="AF294" s="67"/>
      <c r="AG294" s="67"/>
      <c r="AH294" s="67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7"/>
      <c r="AT294" s="67"/>
      <c r="AU294" s="67"/>
      <c r="AV294" s="67"/>
      <c r="AW294" s="67"/>
      <c r="AX294" s="67"/>
      <c r="AY294" s="67"/>
      <c r="AZ294" s="67"/>
      <c r="BA294" s="67"/>
      <c r="BB294" s="67"/>
      <c r="BC294" s="67"/>
      <c r="BD294" s="67"/>
      <c r="BE294" s="67"/>
      <c r="BF294" s="67"/>
      <c r="BG294" s="67"/>
      <c r="BH294" s="67"/>
      <c r="BI294" s="67"/>
      <c r="BJ294" s="67"/>
      <c r="BK294" s="67"/>
      <c r="BL294" s="67"/>
      <c r="BM294" s="67"/>
      <c r="BN294" s="67"/>
      <c r="BO294" s="67"/>
      <c r="BP294" s="67"/>
      <c r="BQ294" s="67"/>
      <c r="BR294" s="67"/>
      <c r="BS294" s="67"/>
      <c r="BT294" s="67"/>
      <c r="BU294" s="67"/>
      <c r="BV294" s="67"/>
      <c r="BW294" s="67"/>
      <c r="BX294" s="67"/>
      <c r="BY294" s="67"/>
      <c r="BZ294" s="67"/>
      <c r="CA294" s="67"/>
      <c r="CB294" s="67"/>
      <c r="CC294" s="67"/>
      <c r="CD294" s="67"/>
      <c r="CE294" s="67"/>
      <c r="CF294" s="67"/>
      <c r="CG294" s="67"/>
      <c r="CH294" s="67"/>
      <c r="CI294" s="67"/>
      <c r="CJ294" s="67"/>
      <c r="CK294" s="67"/>
      <c r="CL294" s="67"/>
      <c r="CM294" s="67"/>
      <c r="CN294" s="67"/>
      <c r="CO294" s="67"/>
      <c r="CP294" s="67"/>
      <c r="CQ294" s="67"/>
      <c r="CR294" s="67"/>
      <c r="CS294" s="67"/>
      <c r="CT294" s="67"/>
      <c r="CU294" s="67"/>
      <c r="CV294" s="67"/>
      <c r="CW294" s="67"/>
      <c r="CX294" s="67"/>
      <c r="CY294" s="67"/>
      <c r="CZ294" s="67"/>
      <c r="DA294" s="67"/>
      <c r="DB294" s="67"/>
      <c r="DC294" s="67"/>
      <c r="DD294" s="67"/>
      <c r="DE294" s="67"/>
      <c r="DF294" s="67"/>
      <c r="DG294" s="67"/>
      <c r="DH294" s="67"/>
      <c r="DI294" s="67"/>
      <c r="DJ294" s="67"/>
      <c r="DK294" s="67"/>
      <c r="DL294" s="67"/>
      <c r="DM294" s="67"/>
      <c r="DN294" s="67"/>
      <c r="DO294" s="67"/>
      <c r="DP294" s="67"/>
      <c r="DQ294" s="67"/>
      <c r="DR294" s="67"/>
      <c r="DS294" s="67"/>
      <c r="DT294" s="67"/>
      <c r="DU294" s="67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  <c r="ER294" s="6"/>
      <c r="ES294" s="6"/>
      <c r="ET294" s="6"/>
      <c r="EU294" s="6"/>
      <c r="EV294" s="6"/>
      <c r="EW294" s="6"/>
      <c r="EX294" s="6"/>
      <c r="EY294" s="6"/>
      <c r="EZ294" s="6"/>
      <c r="FA294" s="6"/>
      <c r="FB294" s="6"/>
      <c r="FC294" s="6"/>
      <c r="FD294" s="6"/>
      <c r="FE294" s="6"/>
      <c r="FF294" s="6"/>
      <c r="FG294" s="6"/>
      <c r="FH294" s="6"/>
      <c r="FI294" s="6"/>
      <c r="FJ294" s="6"/>
      <c r="FK294" s="6"/>
      <c r="FL294" s="6"/>
      <c r="FM294" s="6"/>
      <c r="FN294" s="6"/>
      <c r="FO294" s="6"/>
      <c r="FP294" s="6"/>
      <c r="FQ294" s="6"/>
      <c r="FR294" s="6"/>
      <c r="FS294" s="6"/>
      <c r="FT294" s="6"/>
      <c r="FU294" s="6"/>
      <c r="FV294" s="6"/>
      <c r="FW294" s="6"/>
      <c r="FX294" s="6"/>
      <c r="FY294" s="6"/>
      <c r="FZ294" s="6"/>
      <c r="GA294" s="6"/>
      <c r="GB294" s="6"/>
      <c r="GC294" s="6"/>
      <c r="GD294" s="6"/>
      <c r="GE294" s="6"/>
      <c r="GF294" s="6"/>
      <c r="GG294" s="6"/>
      <c r="GH294" s="6"/>
      <c r="GI294" s="6"/>
      <c r="GJ294" s="6"/>
      <c r="GK294" s="6"/>
      <c r="GL294" s="6"/>
    </row>
    <row r="295" spans="1:194" x14ac:dyDescent="0.25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  <c r="AA295" s="67"/>
      <c r="AB295" s="67"/>
      <c r="AC295" s="67"/>
      <c r="AD295" s="67"/>
      <c r="AE295" s="67"/>
      <c r="AF295" s="67"/>
      <c r="AG295" s="67"/>
      <c r="AH295" s="67"/>
      <c r="AI295" s="67"/>
      <c r="AJ295" s="67"/>
      <c r="AK295" s="67"/>
      <c r="AL295" s="67"/>
      <c r="AM295" s="67"/>
      <c r="AN295" s="67"/>
      <c r="AO295" s="67"/>
      <c r="AP295" s="67"/>
      <c r="AQ295" s="67"/>
      <c r="AR295" s="67"/>
      <c r="AS295" s="67"/>
      <c r="AT295" s="67"/>
      <c r="AU295" s="67"/>
      <c r="AV295" s="67"/>
      <c r="AW295" s="67"/>
      <c r="AX295" s="67"/>
      <c r="AY295" s="67"/>
      <c r="AZ295" s="67"/>
      <c r="BA295" s="67"/>
      <c r="BB295" s="67"/>
      <c r="BC295" s="67"/>
      <c r="BD295" s="67"/>
      <c r="BE295" s="67"/>
      <c r="BF295" s="67"/>
      <c r="BG295" s="67"/>
      <c r="BH295" s="67"/>
      <c r="BI295" s="67"/>
      <c r="BJ295" s="67"/>
      <c r="BK295" s="67"/>
      <c r="BL295" s="67"/>
      <c r="BM295" s="67"/>
      <c r="BN295" s="67"/>
      <c r="BO295" s="67"/>
      <c r="BP295" s="67"/>
      <c r="BQ295" s="67"/>
      <c r="BR295" s="67"/>
      <c r="BS295" s="67"/>
      <c r="BT295" s="67"/>
      <c r="BU295" s="67"/>
      <c r="BV295" s="67"/>
      <c r="BW295" s="67"/>
      <c r="BX295" s="67"/>
      <c r="BY295" s="67"/>
      <c r="BZ295" s="67"/>
      <c r="CA295" s="67"/>
      <c r="CB295" s="67"/>
      <c r="CC295" s="67"/>
      <c r="CD295" s="67"/>
      <c r="CE295" s="67"/>
      <c r="CF295" s="67"/>
      <c r="CG295" s="67"/>
      <c r="CH295" s="67"/>
      <c r="CI295" s="67"/>
      <c r="CJ295" s="67"/>
      <c r="CK295" s="67"/>
      <c r="CL295" s="67"/>
      <c r="CM295" s="67"/>
      <c r="CN295" s="67"/>
      <c r="CO295" s="67"/>
      <c r="CP295" s="67"/>
      <c r="CQ295" s="67"/>
      <c r="CR295" s="67"/>
      <c r="CS295" s="67"/>
      <c r="CT295" s="67"/>
      <c r="CU295" s="67"/>
      <c r="CV295" s="67"/>
      <c r="CW295" s="67"/>
      <c r="CX295" s="67"/>
      <c r="CY295" s="67"/>
      <c r="CZ295" s="67"/>
      <c r="DA295" s="67"/>
      <c r="DB295" s="67"/>
      <c r="DC295" s="67"/>
      <c r="DD295" s="67"/>
      <c r="DE295" s="67"/>
      <c r="DF295" s="67"/>
      <c r="DG295" s="67"/>
      <c r="DH295" s="67"/>
      <c r="DI295" s="67"/>
      <c r="DJ295" s="67"/>
      <c r="DK295" s="67"/>
      <c r="DL295" s="67"/>
      <c r="DM295" s="67"/>
      <c r="DN295" s="67"/>
      <c r="DO295" s="67"/>
      <c r="DP295" s="67"/>
      <c r="DQ295" s="67"/>
      <c r="DR295" s="67"/>
      <c r="DS295" s="67"/>
      <c r="DT295" s="67"/>
      <c r="DU295" s="67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  <c r="ER295" s="6"/>
      <c r="ES295" s="6"/>
      <c r="ET295" s="6"/>
      <c r="EU295" s="6"/>
      <c r="EV295" s="6"/>
      <c r="EW295" s="6"/>
      <c r="EX295" s="6"/>
      <c r="EY295" s="6"/>
      <c r="EZ295" s="6"/>
      <c r="FA295" s="6"/>
      <c r="FB295" s="6"/>
      <c r="FC295" s="6"/>
      <c r="FD295" s="6"/>
      <c r="FE295" s="6"/>
      <c r="FF295" s="6"/>
      <c r="FG295" s="6"/>
      <c r="FH295" s="6"/>
      <c r="FI295" s="6"/>
      <c r="FJ295" s="6"/>
      <c r="FK295" s="6"/>
      <c r="FL295" s="6"/>
      <c r="FM295" s="6"/>
      <c r="FN295" s="6"/>
      <c r="FO295" s="6"/>
      <c r="FP295" s="6"/>
      <c r="FQ295" s="6"/>
      <c r="FR295" s="6"/>
      <c r="FS295" s="6"/>
      <c r="FT295" s="6"/>
      <c r="FU295" s="6"/>
      <c r="FV295" s="6"/>
      <c r="FW295" s="6"/>
      <c r="FX295" s="6"/>
      <c r="FY295" s="6"/>
      <c r="FZ295" s="6"/>
      <c r="GA295" s="6"/>
      <c r="GB295" s="6"/>
      <c r="GC295" s="6"/>
      <c r="GD295" s="6"/>
      <c r="GE295" s="6"/>
      <c r="GF295" s="6"/>
      <c r="GG295" s="6"/>
      <c r="GH295" s="6"/>
      <c r="GI295" s="6"/>
      <c r="GJ295" s="6"/>
      <c r="GK295" s="6"/>
      <c r="GL295" s="6"/>
    </row>
    <row r="296" spans="1:194" x14ac:dyDescent="0.25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  <c r="AA296" s="67"/>
      <c r="AB296" s="67"/>
      <c r="AC296" s="67"/>
      <c r="AD296" s="67"/>
      <c r="AE296" s="67"/>
      <c r="AF296" s="67"/>
      <c r="AG296" s="67"/>
      <c r="AH296" s="67"/>
      <c r="AI296" s="67"/>
      <c r="AJ296" s="67"/>
      <c r="AK296" s="67"/>
      <c r="AL296" s="67"/>
      <c r="AM296" s="67"/>
      <c r="AN296" s="67"/>
      <c r="AO296" s="67"/>
      <c r="AP296" s="67"/>
      <c r="AQ296" s="67"/>
      <c r="AR296" s="67"/>
      <c r="AS296" s="67"/>
      <c r="AT296" s="67"/>
      <c r="AU296" s="67"/>
      <c r="AV296" s="67"/>
      <c r="AW296" s="67"/>
      <c r="AX296" s="67"/>
      <c r="AY296" s="67"/>
      <c r="AZ296" s="67"/>
      <c r="BA296" s="67"/>
      <c r="BB296" s="67"/>
      <c r="BC296" s="67"/>
      <c r="BD296" s="67"/>
      <c r="BE296" s="67"/>
      <c r="BF296" s="67"/>
      <c r="BG296" s="67"/>
      <c r="BH296" s="67"/>
      <c r="BI296" s="67"/>
      <c r="BJ296" s="67"/>
      <c r="BK296" s="67"/>
      <c r="BL296" s="67"/>
      <c r="BM296" s="67"/>
      <c r="BN296" s="67"/>
      <c r="BO296" s="67"/>
      <c r="BP296" s="67"/>
      <c r="BQ296" s="67"/>
      <c r="BR296" s="67"/>
      <c r="BS296" s="67"/>
      <c r="BT296" s="67"/>
      <c r="BU296" s="67"/>
      <c r="BV296" s="67"/>
      <c r="BW296" s="67"/>
      <c r="BX296" s="67"/>
      <c r="BY296" s="67"/>
      <c r="BZ296" s="67"/>
      <c r="CA296" s="67"/>
      <c r="CB296" s="67"/>
      <c r="CC296" s="67"/>
      <c r="CD296" s="67"/>
      <c r="CE296" s="67"/>
      <c r="CF296" s="67"/>
      <c r="CG296" s="67"/>
      <c r="CH296" s="67"/>
      <c r="CI296" s="67"/>
      <c r="CJ296" s="67"/>
      <c r="CK296" s="67"/>
      <c r="CL296" s="67"/>
      <c r="CM296" s="67"/>
      <c r="CN296" s="67"/>
      <c r="CO296" s="67"/>
      <c r="CP296" s="67"/>
      <c r="CQ296" s="67"/>
      <c r="CR296" s="67"/>
      <c r="CS296" s="67"/>
      <c r="CT296" s="67"/>
      <c r="CU296" s="67"/>
      <c r="CV296" s="67"/>
      <c r="CW296" s="67"/>
      <c r="CX296" s="67"/>
      <c r="CY296" s="67"/>
      <c r="CZ296" s="67"/>
      <c r="DA296" s="67"/>
      <c r="DB296" s="67"/>
      <c r="DC296" s="67"/>
      <c r="DD296" s="67"/>
      <c r="DE296" s="67"/>
      <c r="DF296" s="67"/>
      <c r="DG296" s="67"/>
      <c r="DH296" s="67"/>
      <c r="DI296" s="67"/>
      <c r="DJ296" s="67"/>
      <c r="DK296" s="67"/>
      <c r="DL296" s="67"/>
      <c r="DM296" s="67"/>
      <c r="DN296" s="67"/>
      <c r="DO296" s="67"/>
      <c r="DP296" s="67"/>
      <c r="DQ296" s="67"/>
      <c r="DR296" s="67"/>
      <c r="DS296" s="67"/>
      <c r="DT296" s="67"/>
      <c r="DU296" s="67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  <c r="ER296" s="6"/>
      <c r="ES296" s="6"/>
      <c r="ET296" s="6"/>
      <c r="EU296" s="6"/>
      <c r="EV296" s="6"/>
      <c r="EW296" s="6"/>
      <c r="EX296" s="6"/>
      <c r="EY296" s="6"/>
      <c r="EZ296" s="6"/>
      <c r="FA296" s="6"/>
      <c r="FB296" s="6"/>
      <c r="FC296" s="6"/>
      <c r="FD296" s="6"/>
      <c r="FE296" s="6"/>
      <c r="FF296" s="6"/>
      <c r="FG296" s="6"/>
      <c r="FH296" s="6"/>
      <c r="FI296" s="6"/>
      <c r="FJ296" s="6"/>
      <c r="FK296" s="6"/>
      <c r="FL296" s="6"/>
      <c r="FM296" s="6"/>
      <c r="FN296" s="6"/>
      <c r="FO296" s="6"/>
      <c r="FP296" s="6"/>
      <c r="FQ296" s="6"/>
      <c r="FR296" s="6"/>
      <c r="FS296" s="6"/>
      <c r="FT296" s="6"/>
      <c r="FU296" s="6"/>
      <c r="FV296" s="6"/>
      <c r="FW296" s="6"/>
      <c r="FX296" s="6"/>
      <c r="FY296" s="6"/>
      <c r="FZ296" s="6"/>
      <c r="GA296" s="6"/>
      <c r="GB296" s="6"/>
      <c r="GC296" s="6"/>
      <c r="GD296" s="6"/>
      <c r="GE296" s="6"/>
      <c r="GF296" s="6"/>
      <c r="GG296" s="6"/>
      <c r="GH296" s="6"/>
      <c r="GI296" s="6"/>
      <c r="GJ296" s="6"/>
      <c r="GK296" s="6"/>
      <c r="GL296" s="6"/>
    </row>
    <row r="297" spans="1:194" x14ac:dyDescent="0.25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  <c r="AA297" s="67"/>
      <c r="AB297" s="67"/>
      <c r="AC297" s="67"/>
      <c r="AD297" s="67"/>
      <c r="AE297" s="67"/>
      <c r="AF297" s="67"/>
      <c r="AG297" s="67"/>
      <c r="AH297" s="67"/>
      <c r="AI297" s="67"/>
      <c r="AJ297" s="67"/>
      <c r="AK297" s="67"/>
      <c r="AL297" s="67"/>
      <c r="AM297" s="67"/>
      <c r="AN297" s="67"/>
      <c r="AO297" s="67"/>
      <c r="AP297" s="67"/>
      <c r="AQ297" s="67"/>
      <c r="AR297" s="67"/>
      <c r="AS297" s="67"/>
      <c r="AT297" s="67"/>
      <c r="AU297" s="67"/>
      <c r="AV297" s="67"/>
      <c r="AW297" s="67"/>
      <c r="AX297" s="67"/>
      <c r="AY297" s="67"/>
      <c r="AZ297" s="67"/>
      <c r="BA297" s="67"/>
      <c r="BB297" s="67"/>
      <c r="BC297" s="67"/>
      <c r="BD297" s="67"/>
      <c r="BE297" s="67"/>
      <c r="BF297" s="67"/>
      <c r="BG297" s="67"/>
      <c r="BH297" s="67"/>
      <c r="BI297" s="67"/>
      <c r="BJ297" s="67"/>
      <c r="BK297" s="67"/>
      <c r="BL297" s="67"/>
      <c r="BM297" s="67"/>
      <c r="BN297" s="67"/>
      <c r="BO297" s="67"/>
      <c r="BP297" s="67"/>
      <c r="BQ297" s="67"/>
      <c r="BR297" s="67"/>
      <c r="BS297" s="67"/>
      <c r="BT297" s="67"/>
      <c r="BU297" s="67"/>
      <c r="BV297" s="67"/>
      <c r="BW297" s="67"/>
      <c r="BX297" s="67"/>
      <c r="BY297" s="67"/>
      <c r="BZ297" s="67"/>
      <c r="CA297" s="67"/>
      <c r="CB297" s="67"/>
      <c r="CC297" s="67"/>
      <c r="CD297" s="67"/>
      <c r="CE297" s="67"/>
      <c r="CF297" s="67"/>
      <c r="CG297" s="67"/>
      <c r="CH297" s="67"/>
      <c r="CI297" s="67"/>
      <c r="CJ297" s="67"/>
      <c r="CK297" s="67"/>
      <c r="CL297" s="67"/>
      <c r="CM297" s="67"/>
      <c r="CN297" s="67"/>
      <c r="CO297" s="67"/>
      <c r="CP297" s="67"/>
      <c r="CQ297" s="67"/>
      <c r="CR297" s="67"/>
      <c r="CS297" s="67"/>
      <c r="CT297" s="67"/>
      <c r="CU297" s="67"/>
      <c r="CV297" s="67"/>
      <c r="CW297" s="67"/>
      <c r="CX297" s="67"/>
      <c r="CY297" s="67"/>
      <c r="CZ297" s="67"/>
      <c r="DA297" s="67"/>
      <c r="DB297" s="67"/>
      <c r="DC297" s="67"/>
      <c r="DD297" s="67"/>
      <c r="DE297" s="67"/>
      <c r="DF297" s="67"/>
      <c r="DG297" s="67"/>
      <c r="DH297" s="67"/>
      <c r="DI297" s="67"/>
      <c r="DJ297" s="67"/>
      <c r="DK297" s="67"/>
      <c r="DL297" s="67"/>
      <c r="DM297" s="67"/>
      <c r="DN297" s="67"/>
      <c r="DO297" s="67"/>
      <c r="DP297" s="67"/>
      <c r="DQ297" s="67"/>
      <c r="DR297" s="67"/>
      <c r="DS297" s="67"/>
      <c r="DT297" s="67"/>
      <c r="DU297" s="67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  <c r="ER297" s="6"/>
      <c r="ES297" s="6"/>
      <c r="ET297" s="6"/>
      <c r="EU297" s="6"/>
      <c r="EV297" s="6"/>
      <c r="EW297" s="6"/>
      <c r="EX297" s="6"/>
      <c r="EY297" s="6"/>
      <c r="EZ297" s="6"/>
      <c r="FA297" s="6"/>
      <c r="FB297" s="6"/>
      <c r="FC297" s="6"/>
      <c r="FD297" s="6"/>
      <c r="FE297" s="6"/>
      <c r="FF297" s="6"/>
      <c r="FG297" s="6"/>
      <c r="FH297" s="6"/>
      <c r="FI297" s="6"/>
      <c r="FJ297" s="6"/>
      <c r="FK297" s="6"/>
      <c r="FL297" s="6"/>
      <c r="FM297" s="6"/>
      <c r="FN297" s="6"/>
      <c r="FO297" s="6"/>
      <c r="FP297" s="6"/>
      <c r="FQ297" s="6"/>
      <c r="FR297" s="6"/>
      <c r="FS297" s="6"/>
      <c r="FT297" s="6"/>
      <c r="FU297" s="6"/>
      <c r="FV297" s="6"/>
      <c r="FW297" s="6"/>
      <c r="FX297" s="6"/>
      <c r="FY297" s="6"/>
      <c r="FZ297" s="6"/>
      <c r="GA297" s="6"/>
      <c r="GB297" s="6"/>
      <c r="GC297" s="6"/>
      <c r="GD297" s="6"/>
      <c r="GE297" s="6"/>
      <c r="GF297" s="6"/>
      <c r="GG297" s="6"/>
      <c r="GH297" s="6"/>
      <c r="GI297" s="6"/>
      <c r="GJ297" s="6"/>
      <c r="GK297" s="6"/>
      <c r="GL297" s="6"/>
    </row>
    <row r="298" spans="1:194" x14ac:dyDescent="0.25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  <c r="AA298" s="67"/>
      <c r="AB298" s="67"/>
      <c r="AC298" s="67"/>
      <c r="AD298" s="67"/>
      <c r="AE298" s="67"/>
      <c r="AF298" s="67"/>
      <c r="AG298" s="67"/>
      <c r="AH298" s="67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7"/>
      <c r="AT298" s="67"/>
      <c r="AU298" s="67"/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  <c r="BI298" s="67"/>
      <c r="BJ298" s="67"/>
      <c r="BK298" s="67"/>
      <c r="BL298" s="67"/>
      <c r="BM298" s="67"/>
      <c r="BN298" s="67"/>
      <c r="BO298" s="67"/>
      <c r="BP298" s="67"/>
      <c r="BQ298" s="67"/>
      <c r="BR298" s="67"/>
      <c r="BS298" s="67"/>
      <c r="BT298" s="67"/>
      <c r="BU298" s="67"/>
      <c r="BV298" s="67"/>
      <c r="BW298" s="67"/>
      <c r="BX298" s="67"/>
      <c r="BY298" s="67"/>
      <c r="BZ298" s="67"/>
      <c r="CA298" s="67"/>
      <c r="CB298" s="67"/>
      <c r="CC298" s="67"/>
      <c r="CD298" s="67"/>
      <c r="CE298" s="67"/>
      <c r="CF298" s="67"/>
      <c r="CG298" s="67"/>
      <c r="CH298" s="67"/>
      <c r="CI298" s="67"/>
      <c r="CJ298" s="67"/>
      <c r="CK298" s="67"/>
      <c r="CL298" s="67"/>
      <c r="CM298" s="67"/>
      <c r="CN298" s="67"/>
      <c r="CO298" s="67"/>
      <c r="CP298" s="67"/>
      <c r="CQ298" s="67"/>
      <c r="CR298" s="67"/>
      <c r="CS298" s="67"/>
      <c r="CT298" s="67"/>
      <c r="CU298" s="67"/>
      <c r="CV298" s="67"/>
      <c r="CW298" s="67"/>
      <c r="CX298" s="67"/>
      <c r="CY298" s="67"/>
      <c r="CZ298" s="67"/>
      <c r="DA298" s="67"/>
      <c r="DB298" s="67"/>
      <c r="DC298" s="67"/>
      <c r="DD298" s="67"/>
      <c r="DE298" s="67"/>
      <c r="DF298" s="67"/>
      <c r="DG298" s="67"/>
      <c r="DH298" s="67"/>
      <c r="DI298" s="67"/>
      <c r="DJ298" s="67"/>
      <c r="DK298" s="67"/>
      <c r="DL298" s="67"/>
      <c r="DM298" s="67"/>
      <c r="DN298" s="67"/>
      <c r="DO298" s="67"/>
      <c r="DP298" s="67"/>
      <c r="DQ298" s="67"/>
      <c r="DR298" s="67"/>
      <c r="DS298" s="67"/>
      <c r="DT298" s="67"/>
      <c r="DU298" s="67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  <c r="ER298" s="6"/>
      <c r="ES298" s="6"/>
      <c r="ET298" s="6"/>
      <c r="EU298" s="6"/>
      <c r="EV298" s="6"/>
      <c r="EW298" s="6"/>
      <c r="EX298" s="6"/>
      <c r="EY298" s="6"/>
      <c r="EZ298" s="6"/>
      <c r="FA298" s="6"/>
      <c r="FB298" s="6"/>
      <c r="FC298" s="6"/>
      <c r="FD298" s="6"/>
      <c r="FE298" s="6"/>
      <c r="FF298" s="6"/>
      <c r="FG298" s="6"/>
      <c r="FH298" s="6"/>
      <c r="FI298" s="6"/>
      <c r="FJ298" s="6"/>
      <c r="FK298" s="6"/>
      <c r="FL298" s="6"/>
      <c r="FM298" s="6"/>
      <c r="FN298" s="6"/>
      <c r="FO298" s="6"/>
      <c r="FP298" s="6"/>
      <c r="FQ298" s="6"/>
      <c r="FR298" s="6"/>
      <c r="FS298" s="6"/>
      <c r="FT298" s="6"/>
      <c r="FU298" s="6"/>
      <c r="FV298" s="6"/>
      <c r="FW298" s="6"/>
      <c r="FX298" s="6"/>
      <c r="FY298" s="6"/>
      <c r="FZ298" s="6"/>
      <c r="GA298" s="6"/>
      <c r="GB298" s="6"/>
      <c r="GC298" s="6"/>
      <c r="GD298" s="6"/>
      <c r="GE298" s="6"/>
      <c r="GF298" s="6"/>
      <c r="GG298" s="6"/>
      <c r="GH298" s="6"/>
      <c r="GI298" s="6"/>
      <c r="GJ298" s="6"/>
      <c r="GK298" s="6"/>
      <c r="GL298" s="6"/>
    </row>
    <row r="299" spans="1:194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  <c r="AA299" s="67"/>
      <c r="AB299" s="67"/>
      <c r="AC299" s="67"/>
      <c r="AD299" s="67"/>
      <c r="AE299" s="67"/>
      <c r="AF299" s="67"/>
      <c r="AG299" s="67"/>
      <c r="AH299" s="67"/>
      <c r="AI299" s="67"/>
      <c r="AJ299" s="67"/>
      <c r="AK299" s="67"/>
      <c r="AL299" s="67"/>
      <c r="AM299" s="67"/>
      <c r="AN299" s="67"/>
      <c r="AO299" s="67"/>
      <c r="AP299" s="67"/>
      <c r="AQ299" s="67"/>
      <c r="AR299" s="67"/>
      <c r="AS299" s="67"/>
      <c r="AT299" s="67"/>
      <c r="AU299" s="67"/>
      <c r="AV299" s="67"/>
      <c r="AW299" s="67"/>
      <c r="AX299" s="67"/>
      <c r="AY299" s="67"/>
      <c r="AZ299" s="67"/>
      <c r="BA299" s="67"/>
      <c r="BB299" s="67"/>
      <c r="BC299" s="67"/>
      <c r="BD299" s="67"/>
      <c r="BE299" s="67"/>
      <c r="BF299" s="67"/>
      <c r="BG299" s="67"/>
      <c r="BH299" s="67"/>
      <c r="BI299" s="67"/>
      <c r="BJ299" s="67"/>
      <c r="BK299" s="67"/>
      <c r="BL299" s="67"/>
      <c r="BM299" s="67"/>
      <c r="BN299" s="67"/>
      <c r="BO299" s="67"/>
      <c r="BP299" s="67"/>
      <c r="BQ299" s="67"/>
      <c r="BR299" s="67"/>
      <c r="BS299" s="67"/>
      <c r="BT299" s="67"/>
      <c r="BU299" s="67"/>
      <c r="BV299" s="67"/>
      <c r="BW299" s="67"/>
      <c r="BX299" s="67"/>
      <c r="BY299" s="67"/>
      <c r="BZ299" s="67"/>
      <c r="CA299" s="67"/>
      <c r="CB299" s="67"/>
      <c r="CC299" s="67"/>
      <c r="CD299" s="67"/>
      <c r="CE299" s="67"/>
      <c r="CF299" s="67"/>
      <c r="CG299" s="67"/>
      <c r="CH299" s="67"/>
      <c r="CI299" s="67"/>
      <c r="CJ299" s="67"/>
      <c r="CK299" s="67"/>
      <c r="CL299" s="67"/>
      <c r="CM299" s="67"/>
      <c r="CN299" s="67"/>
      <c r="CO299" s="67"/>
      <c r="CP299" s="67"/>
      <c r="CQ299" s="67"/>
      <c r="CR299" s="67"/>
      <c r="CS299" s="67"/>
      <c r="CT299" s="67"/>
      <c r="CU299" s="67"/>
      <c r="CV299" s="67"/>
      <c r="CW299" s="67"/>
      <c r="CX299" s="67"/>
      <c r="CY299" s="67"/>
      <c r="CZ299" s="67"/>
      <c r="DA299" s="67"/>
      <c r="DB299" s="67"/>
      <c r="DC299" s="67"/>
      <c r="DD299" s="67"/>
      <c r="DE299" s="67"/>
      <c r="DF299" s="67"/>
      <c r="DG299" s="67"/>
      <c r="DH299" s="67"/>
      <c r="DI299" s="67"/>
      <c r="DJ299" s="67"/>
      <c r="DK299" s="67"/>
      <c r="DL299" s="67"/>
      <c r="DM299" s="67"/>
      <c r="DN299" s="67"/>
      <c r="DO299" s="67"/>
      <c r="DP299" s="67"/>
      <c r="DQ299" s="67"/>
      <c r="DR299" s="67"/>
      <c r="DS299" s="67"/>
      <c r="DT299" s="67"/>
      <c r="DU299" s="67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  <c r="ER299" s="6"/>
      <c r="ES299" s="6"/>
      <c r="ET299" s="6"/>
      <c r="EU299" s="6"/>
      <c r="EV299" s="6"/>
      <c r="EW299" s="6"/>
      <c r="EX299" s="6"/>
      <c r="EY299" s="6"/>
      <c r="EZ299" s="6"/>
      <c r="FA299" s="6"/>
      <c r="FB299" s="6"/>
      <c r="FC299" s="6"/>
      <c r="FD299" s="6"/>
      <c r="FE299" s="6"/>
      <c r="FF299" s="6"/>
      <c r="FG299" s="6"/>
      <c r="FH299" s="6"/>
      <c r="FI299" s="6"/>
      <c r="FJ299" s="6"/>
      <c r="FK299" s="6"/>
      <c r="FL299" s="6"/>
      <c r="FM299" s="6"/>
      <c r="FN299" s="6"/>
      <c r="FO299" s="6"/>
      <c r="FP299" s="6"/>
      <c r="FQ299" s="6"/>
      <c r="FR299" s="6"/>
      <c r="FS299" s="6"/>
      <c r="FT299" s="6"/>
      <c r="FU299" s="6"/>
      <c r="FV299" s="6"/>
      <c r="FW299" s="6"/>
      <c r="FX299" s="6"/>
      <c r="FY299" s="6"/>
      <c r="FZ299" s="6"/>
      <c r="GA299" s="6"/>
      <c r="GB299" s="6"/>
      <c r="GC299" s="6"/>
      <c r="GD299" s="6"/>
      <c r="GE299" s="6"/>
      <c r="GF299" s="6"/>
      <c r="GG299" s="6"/>
      <c r="GH299" s="6"/>
      <c r="GI299" s="6"/>
      <c r="GJ299" s="6"/>
      <c r="GK299" s="6"/>
      <c r="GL299" s="6"/>
    </row>
    <row r="300" spans="1:194" x14ac:dyDescent="0.25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  <c r="AA300" s="67"/>
      <c r="AB300" s="67"/>
      <c r="AC300" s="67"/>
      <c r="AD300" s="67"/>
      <c r="AE300" s="67"/>
      <c r="AF300" s="67"/>
      <c r="AG300" s="67"/>
      <c r="AH300" s="67"/>
      <c r="AI300" s="67"/>
      <c r="AJ300" s="67"/>
      <c r="AK300" s="67"/>
      <c r="AL300" s="67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  <c r="BI300" s="67"/>
      <c r="BJ300" s="67"/>
      <c r="BK300" s="67"/>
      <c r="BL300" s="67"/>
      <c r="BM300" s="67"/>
      <c r="BN300" s="67"/>
      <c r="BO300" s="67"/>
      <c r="BP300" s="67"/>
      <c r="BQ300" s="67"/>
      <c r="BR300" s="67"/>
      <c r="BS300" s="67"/>
      <c r="BT300" s="67"/>
      <c r="BU300" s="67"/>
      <c r="BV300" s="67"/>
      <c r="BW300" s="67"/>
      <c r="BX300" s="67"/>
      <c r="BY300" s="67"/>
      <c r="BZ300" s="67"/>
      <c r="CA300" s="67"/>
      <c r="CB300" s="67"/>
      <c r="CC300" s="67"/>
      <c r="CD300" s="67"/>
      <c r="CE300" s="67"/>
      <c r="CF300" s="67"/>
      <c r="CG300" s="67"/>
      <c r="CH300" s="67"/>
      <c r="CI300" s="67"/>
      <c r="CJ300" s="67"/>
      <c r="CK300" s="67"/>
      <c r="CL300" s="67"/>
      <c r="CM300" s="67"/>
      <c r="CN300" s="67"/>
      <c r="CO300" s="67"/>
      <c r="CP300" s="67"/>
      <c r="CQ300" s="67"/>
      <c r="CR300" s="67"/>
      <c r="CS300" s="67"/>
      <c r="CT300" s="67"/>
      <c r="CU300" s="67"/>
      <c r="CV300" s="67"/>
      <c r="CW300" s="67"/>
      <c r="CX300" s="67"/>
      <c r="CY300" s="67"/>
      <c r="CZ300" s="67"/>
      <c r="DA300" s="67"/>
      <c r="DB300" s="67"/>
      <c r="DC300" s="67"/>
      <c r="DD300" s="67"/>
      <c r="DE300" s="67"/>
      <c r="DF300" s="67"/>
      <c r="DG300" s="67"/>
      <c r="DH300" s="67"/>
      <c r="DI300" s="67"/>
      <c r="DJ300" s="67"/>
      <c r="DK300" s="67"/>
      <c r="DL300" s="67"/>
      <c r="DM300" s="67"/>
      <c r="DN300" s="67"/>
      <c r="DO300" s="67"/>
      <c r="DP300" s="67"/>
      <c r="DQ300" s="67"/>
      <c r="DR300" s="67"/>
      <c r="DS300" s="67"/>
      <c r="DT300" s="67"/>
      <c r="DU300" s="67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  <c r="ER300" s="6"/>
      <c r="ES300" s="6"/>
      <c r="ET300" s="6"/>
      <c r="EU300" s="6"/>
      <c r="EV300" s="6"/>
      <c r="EW300" s="6"/>
      <c r="EX300" s="6"/>
      <c r="EY300" s="6"/>
      <c r="EZ300" s="6"/>
      <c r="FA300" s="6"/>
      <c r="FB300" s="6"/>
      <c r="FC300" s="6"/>
      <c r="FD300" s="6"/>
      <c r="FE300" s="6"/>
      <c r="FF300" s="6"/>
      <c r="FG300" s="6"/>
      <c r="FH300" s="6"/>
      <c r="FI300" s="6"/>
      <c r="FJ300" s="6"/>
      <c r="FK300" s="6"/>
      <c r="FL300" s="6"/>
      <c r="FM300" s="6"/>
      <c r="FN300" s="6"/>
      <c r="FO300" s="6"/>
      <c r="FP300" s="6"/>
      <c r="FQ300" s="6"/>
      <c r="FR300" s="6"/>
      <c r="FS300" s="6"/>
      <c r="FT300" s="6"/>
      <c r="FU300" s="6"/>
      <c r="FV300" s="6"/>
      <c r="FW300" s="6"/>
      <c r="FX300" s="6"/>
      <c r="FY300" s="6"/>
      <c r="FZ300" s="6"/>
      <c r="GA300" s="6"/>
      <c r="GB300" s="6"/>
      <c r="GC300" s="6"/>
      <c r="GD300" s="6"/>
      <c r="GE300" s="6"/>
      <c r="GF300" s="6"/>
      <c r="GG300" s="6"/>
      <c r="GH300" s="6"/>
      <c r="GI300" s="6"/>
      <c r="GJ300" s="6"/>
      <c r="GK300" s="6"/>
      <c r="GL300" s="6"/>
    </row>
    <row r="301" spans="1:194" x14ac:dyDescent="0.25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  <c r="AA301" s="67"/>
      <c r="AB301" s="67"/>
      <c r="AC301" s="67"/>
      <c r="AD301" s="67"/>
      <c r="AE301" s="67"/>
      <c r="AF301" s="67"/>
      <c r="AG301" s="67"/>
      <c r="AH301" s="67"/>
      <c r="AI301" s="67"/>
      <c r="AJ301" s="67"/>
      <c r="AK301" s="67"/>
      <c r="AL301" s="67"/>
      <c r="AM301" s="67"/>
      <c r="AN301" s="67"/>
      <c r="AO301" s="67"/>
      <c r="AP301" s="67"/>
      <c r="AQ301" s="67"/>
      <c r="AR301" s="67"/>
      <c r="AS301" s="67"/>
      <c r="AT301" s="67"/>
      <c r="AU301" s="67"/>
      <c r="AV301" s="67"/>
      <c r="AW301" s="67"/>
      <c r="AX301" s="67"/>
      <c r="AY301" s="67"/>
      <c r="AZ301" s="67"/>
      <c r="BA301" s="67"/>
      <c r="BB301" s="67"/>
      <c r="BC301" s="67"/>
      <c r="BD301" s="67"/>
      <c r="BE301" s="67"/>
      <c r="BF301" s="67"/>
      <c r="BG301" s="67"/>
      <c r="BH301" s="67"/>
      <c r="BI301" s="67"/>
      <c r="BJ301" s="67"/>
      <c r="BK301" s="67"/>
      <c r="BL301" s="67"/>
      <c r="BM301" s="67"/>
      <c r="BN301" s="67"/>
      <c r="BO301" s="67"/>
      <c r="BP301" s="67"/>
      <c r="BQ301" s="67"/>
      <c r="BR301" s="67"/>
      <c r="BS301" s="67"/>
      <c r="BT301" s="67"/>
      <c r="BU301" s="67"/>
      <c r="BV301" s="67"/>
      <c r="BW301" s="67"/>
      <c r="BX301" s="67"/>
      <c r="BY301" s="67"/>
      <c r="BZ301" s="67"/>
      <c r="CA301" s="67"/>
      <c r="CB301" s="67"/>
      <c r="CC301" s="67"/>
      <c r="CD301" s="67"/>
      <c r="CE301" s="67"/>
      <c r="CF301" s="67"/>
      <c r="CG301" s="67"/>
      <c r="CH301" s="67"/>
      <c r="CI301" s="67"/>
      <c r="CJ301" s="67"/>
      <c r="CK301" s="67"/>
      <c r="CL301" s="67"/>
      <c r="CM301" s="67"/>
      <c r="CN301" s="67"/>
      <c r="CO301" s="67"/>
      <c r="CP301" s="67"/>
      <c r="CQ301" s="67"/>
      <c r="CR301" s="67"/>
      <c r="CS301" s="67"/>
      <c r="CT301" s="67"/>
      <c r="CU301" s="67"/>
      <c r="CV301" s="67"/>
      <c r="CW301" s="67"/>
      <c r="CX301" s="67"/>
      <c r="CY301" s="67"/>
      <c r="CZ301" s="67"/>
      <c r="DA301" s="67"/>
      <c r="DB301" s="67"/>
      <c r="DC301" s="67"/>
      <c r="DD301" s="67"/>
      <c r="DE301" s="67"/>
      <c r="DF301" s="67"/>
      <c r="DG301" s="67"/>
      <c r="DH301" s="67"/>
      <c r="DI301" s="67"/>
      <c r="DJ301" s="67"/>
      <c r="DK301" s="67"/>
      <c r="DL301" s="67"/>
      <c r="DM301" s="67"/>
      <c r="DN301" s="67"/>
      <c r="DO301" s="67"/>
      <c r="DP301" s="67"/>
      <c r="DQ301" s="67"/>
      <c r="DR301" s="67"/>
      <c r="DS301" s="67"/>
      <c r="DT301" s="67"/>
      <c r="DU301" s="67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  <c r="ER301" s="6"/>
      <c r="ES301" s="6"/>
      <c r="ET301" s="6"/>
      <c r="EU301" s="6"/>
      <c r="EV301" s="6"/>
      <c r="EW301" s="6"/>
      <c r="EX301" s="6"/>
      <c r="EY301" s="6"/>
      <c r="EZ301" s="6"/>
      <c r="FA301" s="6"/>
      <c r="FB301" s="6"/>
      <c r="FC301" s="6"/>
      <c r="FD301" s="6"/>
      <c r="FE301" s="6"/>
      <c r="FF301" s="6"/>
      <c r="FG301" s="6"/>
      <c r="FH301" s="6"/>
      <c r="FI301" s="6"/>
      <c r="FJ301" s="6"/>
      <c r="FK301" s="6"/>
      <c r="FL301" s="6"/>
      <c r="FM301" s="6"/>
      <c r="FN301" s="6"/>
      <c r="FO301" s="6"/>
      <c r="FP301" s="6"/>
      <c r="FQ301" s="6"/>
      <c r="FR301" s="6"/>
      <c r="FS301" s="6"/>
      <c r="FT301" s="6"/>
      <c r="FU301" s="6"/>
      <c r="FV301" s="6"/>
      <c r="FW301" s="6"/>
      <c r="FX301" s="6"/>
      <c r="FY301" s="6"/>
      <c r="FZ301" s="6"/>
      <c r="GA301" s="6"/>
      <c r="GB301" s="6"/>
      <c r="GC301" s="6"/>
      <c r="GD301" s="6"/>
      <c r="GE301" s="6"/>
      <c r="GF301" s="6"/>
      <c r="GG301" s="6"/>
      <c r="GH301" s="6"/>
      <c r="GI301" s="6"/>
      <c r="GJ301" s="6"/>
      <c r="GK301" s="6"/>
      <c r="GL301" s="6"/>
    </row>
    <row r="302" spans="1:194" x14ac:dyDescent="0.25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  <c r="AA302" s="67"/>
      <c r="AB302" s="67"/>
      <c r="AC302" s="67"/>
      <c r="AD302" s="67"/>
      <c r="AE302" s="67"/>
      <c r="AF302" s="67"/>
      <c r="AG302" s="67"/>
      <c r="AH302" s="67"/>
      <c r="AI302" s="67"/>
      <c r="AJ302" s="67"/>
      <c r="AK302" s="67"/>
      <c r="AL302" s="67"/>
      <c r="AM302" s="67"/>
      <c r="AN302" s="67"/>
      <c r="AO302" s="67"/>
      <c r="AP302" s="67"/>
      <c r="AQ302" s="67"/>
      <c r="AR302" s="67"/>
      <c r="AS302" s="67"/>
      <c r="AT302" s="67"/>
      <c r="AU302" s="67"/>
      <c r="AV302" s="67"/>
      <c r="AW302" s="67"/>
      <c r="AX302" s="67"/>
      <c r="AY302" s="67"/>
      <c r="AZ302" s="67"/>
      <c r="BA302" s="67"/>
      <c r="BB302" s="67"/>
      <c r="BC302" s="67"/>
      <c r="BD302" s="67"/>
      <c r="BE302" s="67"/>
      <c r="BF302" s="67"/>
      <c r="BG302" s="67"/>
      <c r="BH302" s="67"/>
      <c r="BI302" s="67"/>
      <c r="BJ302" s="67"/>
      <c r="BK302" s="67"/>
      <c r="BL302" s="67"/>
      <c r="BM302" s="67"/>
      <c r="BN302" s="67"/>
      <c r="BO302" s="67"/>
      <c r="BP302" s="67"/>
      <c r="BQ302" s="67"/>
      <c r="BR302" s="67"/>
      <c r="BS302" s="67"/>
      <c r="BT302" s="67"/>
      <c r="BU302" s="67"/>
      <c r="BV302" s="67"/>
      <c r="BW302" s="67"/>
      <c r="BX302" s="67"/>
      <c r="BY302" s="67"/>
      <c r="BZ302" s="67"/>
      <c r="CA302" s="67"/>
      <c r="CB302" s="67"/>
      <c r="CC302" s="67"/>
      <c r="CD302" s="67"/>
      <c r="CE302" s="67"/>
      <c r="CF302" s="67"/>
      <c r="CG302" s="67"/>
      <c r="CH302" s="67"/>
      <c r="CI302" s="67"/>
      <c r="CJ302" s="67"/>
      <c r="CK302" s="67"/>
      <c r="CL302" s="67"/>
      <c r="CM302" s="67"/>
      <c r="CN302" s="67"/>
      <c r="CO302" s="67"/>
      <c r="CP302" s="67"/>
      <c r="CQ302" s="67"/>
      <c r="CR302" s="67"/>
      <c r="CS302" s="67"/>
      <c r="CT302" s="67"/>
      <c r="CU302" s="67"/>
      <c r="CV302" s="67"/>
      <c r="CW302" s="67"/>
      <c r="CX302" s="67"/>
      <c r="CY302" s="67"/>
      <c r="CZ302" s="67"/>
      <c r="DA302" s="67"/>
      <c r="DB302" s="67"/>
      <c r="DC302" s="67"/>
      <c r="DD302" s="67"/>
      <c r="DE302" s="67"/>
      <c r="DF302" s="67"/>
      <c r="DG302" s="67"/>
      <c r="DH302" s="67"/>
      <c r="DI302" s="67"/>
      <c r="DJ302" s="67"/>
      <c r="DK302" s="67"/>
      <c r="DL302" s="67"/>
      <c r="DM302" s="67"/>
      <c r="DN302" s="67"/>
      <c r="DO302" s="67"/>
      <c r="DP302" s="67"/>
      <c r="DQ302" s="67"/>
      <c r="DR302" s="67"/>
      <c r="DS302" s="67"/>
      <c r="DT302" s="67"/>
      <c r="DU302" s="67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  <c r="ER302" s="6"/>
      <c r="ES302" s="6"/>
      <c r="ET302" s="6"/>
      <c r="EU302" s="6"/>
      <c r="EV302" s="6"/>
      <c r="EW302" s="6"/>
      <c r="EX302" s="6"/>
      <c r="EY302" s="6"/>
      <c r="EZ302" s="6"/>
      <c r="FA302" s="6"/>
      <c r="FB302" s="6"/>
      <c r="FC302" s="6"/>
      <c r="FD302" s="6"/>
      <c r="FE302" s="6"/>
      <c r="FF302" s="6"/>
      <c r="FG302" s="6"/>
      <c r="FH302" s="6"/>
      <c r="FI302" s="6"/>
      <c r="FJ302" s="6"/>
      <c r="FK302" s="6"/>
      <c r="FL302" s="6"/>
      <c r="FM302" s="6"/>
      <c r="FN302" s="6"/>
      <c r="FO302" s="6"/>
      <c r="FP302" s="6"/>
      <c r="FQ302" s="6"/>
      <c r="FR302" s="6"/>
      <c r="FS302" s="6"/>
      <c r="FT302" s="6"/>
      <c r="FU302" s="6"/>
      <c r="FV302" s="6"/>
      <c r="FW302" s="6"/>
      <c r="FX302" s="6"/>
      <c r="FY302" s="6"/>
      <c r="FZ302" s="6"/>
      <c r="GA302" s="6"/>
      <c r="GB302" s="6"/>
      <c r="GC302" s="6"/>
      <c r="GD302" s="6"/>
      <c r="GE302" s="6"/>
      <c r="GF302" s="6"/>
      <c r="GG302" s="6"/>
      <c r="GH302" s="6"/>
      <c r="GI302" s="6"/>
      <c r="GJ302" s="6"/>
      <c r="GK302" s="6"/>
      <c r="GL302" s="6"/>
    </row>
    <row r="303" spans="1:194" x14ac:dyDescent="0.25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  <c r="AA303" s="67"/>
      <c r="AB303" s="67"/>
      <c r="AC303" s="67"/>
      <c r="AD303" s="67"/>
      <c r="AE303" s="67"/>
      <c r="AF303" s="67"/>
      <c r="AG303" s="67"/>
      <c r="AH303" s="67"/>
      <c r="AI303" s="67"/>
      <c r="AJ303" s="67"/>
      <c r="AK303" s="67"/>
      <c r="AL303" s="67"/>
      <c r="AM303" s="67"/>
      <c r="AN303" s="67"/>
      <c r="AO303" s="67"/>
      <c r="AP303" s="67"/>
      <c r="AQ303" s="67"/>
      <c r="AR303" s="67"/>
      <c r="AS303" s="67"/>
      <c r="AT303" s="67"/>
      <c r="AU303" s="67"/>
      <c r="AV303" s="67"/>
      <c r="AW303" s="67"/>
      <c r="AX303" s="67"/>
      <c r="AY303" s="67"/>
      <c r="AZ303" s="67"/>
      <c r="BA303" s="67"/>
      <c r="BB303" s="67"/>
      <c r="BC303" s="67"/>
      <c r="BD303" s="67"/>
      <c r="BE303" s="67"/>
      <c r="BF303" s="67"/>
      <c r="BG303" s="67"/>
      <c r="BH303" s="67"/>
      <c r="BI303" s="67"/>
      <c r="BJ303" s="67"/>
      <c r="BK303" s="67"/>
      <c r="BL303" s="67"/>
      <c r="BM303" s="67"/>
      <c r="BN303" s="67"/>
      <c r="BO303" s="67"/>
      <c r="BP303" s="67"/>
      <c r="BQ303" s="67"/>
      <c r="BR303" s="67"/>
      <c r="BS303" s="67"/>
      <c r="BT303" s="67"/>
      <c r="BU303" s="67"/>
      <c r="BV303" s="67"/>
      <c r="BW303" s="67"/>
      <c r="BX303" s="67"/>
      <c r="BY303" s="67"/>
      <c r="BZ303" s="67"/>
      <c r="CA303" s="67"/>
      <c r="CB303" s="67"/>
      <c r="CC303" s="67"/>
      <c r="CD303" s="67"/>
      <c r="CE303" s="67"/>
      <c r="CF303" s="67"/>
      <c r="CG303" s="67"/>
      <c r="CH303" s="67"/>
      <c r="CI303" s="67"/>
      <c r="CJ303" s="67"/>
      <c r="CK303" s="67"/>
      <c r="CL303" s="67"/>
      <c r="CM303" s="67"/>
      <c r="CN303" s="67"/>
      <c r="CO303" s="67"/>
      <c r="CP303" s="67"/>
      <c r="CQ303" s="67"/>
      <c r="CR303" s="67"/>
      <c r="CS303" s="67"/>
      <c r="CT303" s="67"/>
      <c r="CU303" s="67"/>
      <c r="CV303" s="67"/>
      <c r="CW303" s="67"/>
      <c r="CX303" s="67"/>
      <c r="CY303" s="67"/>
      <c r="CZ303" s="67"/>
      <c r="DA303" s="67"/>
      <c r="DB303" s="67"/>
      <c r="DC303" s="67"/>
      <c r="DD303" s="67"/>
      <c r="DE303" s="67"/>
      <c r="DF303" s="67"/>
      <c r="DG303" s="67"/>
      <c r="DH303" s="67"/>
      <c r="DI303" s="67"/>
      <c r="DJ303" s="67"/>
      <c r="DK303" s="67"/>
      <c r="DL303" s="67"/>
      <c r="DM303" s="67"/>
      <c r="DN303" s="67"/>
      <c r="DO303" s="67"/>
      <c r="DP303" s="67"/>
      <c r="DQ303" s="67"/>
      <c r="DR303" s="67"/>
      <c r="DS303" s="67"/>
      <c r="DT303" s="67"/>
      <c r="DU303" s="67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  <c r="ER303" s="6"/>
      <c r="ES303" s="6"/>
      <c r="ET303" s="6"/>
      <c r="EU303" s="6"/>
      <c r="EV303" s="6"/>
      <c r="EW303" s="6"/>
      <c r="EX303" s="6"/>
      <c r="EY303" s="6"/>
      <c r="EZ303" s="6"/>
      <c r="FA303" s="6"/>
      <c r="FB303" s="6"/>
      <c r="FC303" s="6"/>
      <c r="FD303" s="6"/>
      <c r="FE303" s="6"/>
      <c r="FF303" s="6"/>
      <c r="FG303" s="6"/>
      <c r="FH303" s="6"/>
      <c r="FI303" s="6"/>
      <c r="FJ303" s="6"/>
      <c r="FK303" s="6"/>
      <c r="FL303" s="6"/>
      <c r="FM303" s="6"/>
      <c r="FN303" s="6"/>
      <c r="FO303" s="6"/>
      <c r="FP303" s="6"/>
      <c r="FQ303" s="6"/>
      <c r="FR303" s="6"/>
      <c r="FS303" s="6"/>
      <c r="FT303" s="6"/>
      <c r="FU303" s="6"/>
      <c r="FV303" s="6"/>
      <c r="FW303" s="6"/>
      <c r="FX303" s="6"/>
      <c r="FY303" s="6"/>
      <c r="FZ303" s="6"/>
      <c r="GA303" s="6"/>
      <c r="GB303" s="6"/>
      <c r="GC303" s="6"/>
      <c r="GD303" s="6"/>
      <c r="GE303" s="6"/>
      <c r="GF303" s="6"/>
      <c r="GG303" s="6"/>
      <c r="GH303" s="6"/>
      <c r="GI303" s="6"/>
      <c r="GJ303" s="6"/>
      <c r="GK303" s="6"/>
      <c r="GL303" s="6"/>
    </row>
    <row r="304" spans="1:194" x14ac:dyDescent="0.25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  <c r="AA304" s="67"/>
      <c r="AB304" s="67"/>
      <c r="AC304" s="67"/>
      <c r="AD304" s="67"/>
      <c r="AE304" s="67"/>
      <c r="AF304" s="67"/>
      <c r="AG304" s="67"/>
      <c r="AH304" s="67"/>
      <c r="AI304" s="67"/>
      <c r="AJ304" s="67"/>
      <c r="AK304" s="67"/>
      <c r="AL304" s="67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  <c r="BI304" s="67"/>
      <c r="BJ304" s="67"/>
      <c r="BK304" s="67"/>
      <c r="BL304" s="67"/>
      <c r="BM304" s="67"/>
      <c r="BN304" s="67"/>
      <c r="BO304" s="67"/>
      <c r="BP304" s="67"/>
      <c r="BQ304" s="67"/>
      <c r="BR304" s="67"/>
      <c r="BS304" s="67"/>
      <c r="BT304" s="67"/>
      <c r="BU304" s="67"/>
      <c r="BV304" s="67"/>
      <c r="BW304" s="67"/>
      <c r="BX304" s="67"/>
      <c r="BY304" s="67"/>
      <c r="BZ304" s="67"/>
      <c r="CA304" s="67"/>
      <c r="CB304" s="67"/>
      <c r="CC304" s="67"/>
      <c r="CD304" s="67"/>
      <c r="CE304" s="67"/>
      <c r="CF304" s="67"/>
      <c r="CG304" s="67"/>
      <c r="CH304" s="67"/>
      <c r="CI304" s="67"/>
      <c r="CJ304" s="67"/>
      <c r="CK304" s="67"/>
      <c r="CL304" s="67"/>
      <c r="CM304" s="67"/>
      <c r="CN304" s="67"/>
      <c r="CO304" s="67"/>
      <c r="CP304" s="67"/>
      <c r="CQ304" s="67"/>
      <c r="CR304" s="67"/>
      <c r="CS304" s="67"/>
      <c r="CT304" s="67"/>
      <c r="CU304" s="67"/>
      <c r="CV304" s="67"/>
      <c r="CW304" s="67"/>
      <c r="CX304" s="67"/>
      <c r="CY304" s="67"/>
      <c r="CZ304" s="67"/>
      <c r="DA304" s="67"/>
      <c r="DB304" s="67"/>
      <c r="DC304" s="67"/>
      <c r="DD304" s="67"/>
      <c r="DE304" s="67"/>
      <c r="DF304" s="67"/>
      <c r="DG304" s="67"/>
      <c r="DH304" s="67"/>
      <c r="DI304" s="67"/>
      <c r="DJ304" s="67"/>
      <c r="DK304" s="67"/>
      <c r="DL304" s="67"/>
      <c r="DM304" s="67"/>
      <c r="DN304" s="67"/>
      <c r="DO304" s="67"/>
      <c r="DP304" s="67"/>
      <c r="DQ304" s="67"/>
      <c r="DR304" s="67"/>
      <c r="DS304" s="67"/>
      <c r="DT304" s="67"/>
      <c r="DU304" s="67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  <c r="ER304" s="6"/>
      <c r="ES304" s="6"/>
      <c r="ET304" s="6"/>
      <c r="EU304" s="6"/>
      <c r="EV304" s="6"/>
      <c r="EW304" s="6"/>
      <c r="EX304" s="6"/>
      <c r="EY304" s="6"/>
      <c r="EZ304" s="6"/>
      <c r="FA304" s="6"/>
      <c r="FB304" s="6"/>
      <c r="FC304" s="6"/>
      <c r="FD304" s="6"/>
      <c r="FE304" s="6"/>
      <c r="FF304" s="6"/>
      <c r="FG304" s="6"/>
      <c r="FH304" s="6"/>
      <c r="FI304" s="6"/>
      <c r="FJ304" s="6"/>
      <c r="FK304" s="6"/>
      <c r="FL304" s="6"/>
      <c r="FM304" s="6"/>
      <c r="FN304" s="6"/>
      <c r="FO304" s="6"/>
      <c r="FP304" s="6"/>
      <c r="FQ304" s="6"/>
      <c r="FR304" s="6"/>
      <c r="FS304" s="6"/>
      <c r="FT304" s="6"/>
      <c r="FU304" s="6"/>
      <c r="FV304" s="6"/>
      <c r="FW304" s="6"/>
      <c r="FX304" s="6"/>
      <c r="FY304" s="6"/>
      <c r="FZ304" s="6"/>
      <c r="GA304" s="6"/>
      <c r="GB304" s="6"/>
      <c r="GC304" s="6"/>
      <c r="GD304" s="6"/>
      <c r="GE304" s="6"/>
      <c r="GF304" s="6"/>
      <c r="GG304" s="6"/>
      <c r="GH304" s="6"/>
      <c r="GI304" s="6"/>
      <c r="GJ304" s="6"/>
      <c r="GK304" s="6"/>
      <c r="GL304" s="6"/>
    </row>
    <row r="305" spans="1:194" x14ac:dyDescent="0.25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  <c r="AA305" s="67"/>
      <c r="AB305" s="67"/>
      <c r="AC305" s="67"/>
      <c r="AD305" s="67"/>
      <c r="AE305" s="67"/>
      <c r="AF305" s="67"/>
      <c r="AG305" s="67"/>
      <c r="AH305" s="67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7"/>
      <c r="AT305" s="67"/>
      <c r="AU305" s="67"/>
      <c r="AV305" s="67"/>
      <c r="AW305" s="67"/>
      <c r="AX305" s="67"/>
      <c r="AY305" s="67"/>
      <c r="AZ305" s="67"/>
      <c r="BA305" s="67"/>
      <c r="BB305" s="67"/>
      <c r="BC305" s="67"/>
      <c r="BD305" s="67"/>
      <c r="BE305" s="67"/>
      <c r="BF305" s="67"/>
      <c r="BG305" s="67"/>
      <c r="BH305" s="67"/>
      <c r="BI305" s="67"/>
      <c r="BJ305" s="67"/>
      <c r="BK305" s="67"/>
      <c r="BL305" s="67"/>
      <c r="BM305" s="67"/>
      <c r="BN305" s="67"/>
      <c r="BO305" s="67"/>
      <c r="BP305" s="67"/>
      <c r="BQ305" s="67"/>
      <c r="BR305" s="67"/>
      <c r="BS305" s="67"/>
      <c r="BT305" s="67"/>
      <c r="BU305" s="67"/>
      <c r="BV305" s="67"/>
      <c r="BW305" s="67"/>
      <c r="BX305" s="67"/>
      <c r="BY305" s="67"/>
      <c r="BZ305" s="67"/>
      <c r="CA305" s="67"/>
      <c r="CB305" s="67"/>
      <c r="CC305" s="67"/>
      <c r="CD305" s="67"/>
      <c r="CE305" s="67"/>
      <c r="CF305" s="67"/>
      <c r="CG305" s="67"/>
      <c r="CH305" s="67"/>
      <c r="CI305" s="67"/>
      <c r="CJ305" s="67"/>
      <c r="CK305" s="67"/>
      <c r="CL305" s="67"/>
      <c r="CM305" s="67"/>
      <c r="CN305" s="67"/>
      <c r="CO305" s="67"/>
      <c r="CP305" s="67"/>
      <c r="CQ305" s="67"/>
      <c r="CR305" s="67"/>
      <c r="CS305" s="67"/>
      <c r="CT305" s="67"/>
      <c r="CU305" s="67"/>
      <c r="CV305" s="67"/>
      <c r="CW305" s="67"/>
      <c r="CX305" s="67"/>
      <c r="CY305" s="67"/>
      <c r="CZ305" s="67"/>
      <c r="DA305" s="67"/>
      <c r="DB305" s="67"/>
      <c r="DC305" s="67"/>
      <c r="DD305" s="67"/>
      <c r="DE305" s="67"/>
      <c r="DF305" s="67"/>
      <c r="DG305" s="67"/>
      <c r="DH305" s="67"/>
      <c r="DI305" s="67"/>
      <c r="DJ305" s="67"/>
      <c r="DK305" s="67"/>
      <c r="DL305" s="67"/>
      <c r="DM305" s="67"/>
      <c r="DN305" s="67"/>
      <c r="DO305" s="67"/>
      <c r="DP305" s="67"/>
      <c r="DQ305" s="67"/>
      <c r="DR305" s="67"/>
      <c r="DS305" s="67"/>
      <c r="DT305" s="67"/>
      <c r="DU305" s="67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  <c r="ER305" s="6"/>
      <c r="ES305" s="6"/>
      <c r="ET305" s="6"/>
      <c r="EU305" s="6"/>
      <c r="EV305" s="6"/>
      <c r="EW305" s="6"/>
      <c r="EX305" s="6"/>
      <c r="EY305" s="6"/>
      <c r="EZ305" s="6"/>
      <c r="FA305" s="6"/>
      <c r="FB305" s="6"/>
      <c r="FC305" s="6"/>
      <c r="FD305" s="6"/>
      <c r="FE305" s="6"/>
      <c r="FF305" s="6"/>
      <c r="FG305" s="6"/>
      <c r="FH305" s="6"/>
      <c r="FI305" s="6"/>
      <c r="FJ305" s="6"/>
      <c r="FK305" s="6"/>
      <c r="FL305" s="6"/>
      <c r="FM305" s="6"/>
      <c r="FN305" s="6"/>
      <c r="FO305" s="6"/>
      <c r="FP305" s="6"/>
      <c r="FQ305" s="6"/>
      <c r="FR305" s="6"/>
      <c r="FS305" s="6"/>
      <c r="FT305" s="6"/>
      <c r="FU305" s="6"/>
      <c r="FV305" s="6"/>
      <c r="FW305" s="6"/>
      <c r="FX305" s="6"/>
      <c r="FY305" s="6"/>
      <c r="FZ305" s="6"/>
      <c r="GA305" s="6"/>
      <c r="GB305" s="6"/>
      <c r="GC305" s="6"/>
      <c r="GD305" s="6"/>
      <c r="GE305" s="6"/>
      <c r="GF305" s="6"/>
      <c r="GG305" s="6"/>
      <c r="GH305" s="6"/>
      <c r="GI305" s="6"/>
      <c r="GJ305" s="6"/>
      <c r="GK305" s="6"/>
      <c r="GL305" s="6"/>
    </row>
    <row r="306" spans="1:194" x14ac:dyDescent="0.25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  <c r="AA306" s="67"/>
      <c r="AB306" s="67"/>
      <c r="AC306" s="67"/>
      <c r="AD306" s="67"/>
      <c r="AE306" s="67"/>
      <c r="AF306" s="67"/>
      <c r="AG306" s="67"/>
      <c r="AH306" s="67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7"/>
      <c r="AT306" s="67"/>
      <c r="AU306" s="67"/>
      <c r="AV306" s="67"/>
      <c r="AW306" s="67"/>
      <c r="AX306" s="67"/>
      <c r="AY306" s="67"/>
      <c r="AZ306" s="67"/>
      <c r="BA306" s="67"/>
      <c r="BB306" s="67"/>
      <c r="BC306" s="67"/>
      <c r="BD306" s="67"/>
      <c r="BE306" s="67"/>
      <c r="BF306" s="67"/>
      <c r="BG306" s="67"/>
      <c r="BH306" s="67"/>
      <c r="BI306" s="67"/>
      <c r="BJ306" s="67"/>
      <c r="BK306" s="67"/>
      <c r="BL306" s="67"/>
      <c r="BM306" s="67"/>
      <c r="BN306" s="67"/>
      <c r="BO306" s="67"/>
      <c r="BP306" s="67"/>
      <c r="BQ306" s="67"/>
      <c r="BR306" s="67"/>
      <c r="BS306" s="67"/>
      <c r="BT306" s="67"/>
      <c r="BU306" s="67"/>
      <c r="BV306" s="67"/>
      <c r="BW306" s="67"/>
      <c r="BX306" s="67"/>
      <c r="BY306" s="67"/>
      <c r="BZ306" s="67"/>
      <c r="CA306" s="67"/>
      <c r="CB306" s="67"/>
      <c r="CC306" s="67"/>
      <c r="CD306" s="67"/>
      <c r="CE306" s="67"/>
      <c r="CF306" s="67"/>
      <c r="CG306" s="67"/>
      <c r="CH306" s="67"/>
      <c r="CI306" s="67"/>
      <c r="CJ306" s="67"/>
      <c r="CK306" s="67"/>
      <c r="CL306" s="67"/>
      <c r="CM306" s="67"/>
      <c r="CN306" s="67"/>
      <c r="CO306" s="67"/>
      <c r="CP306" s="67"/>
      <c r="CQ306" s="67"/>
      <c r="CR306" s="67"/>
      <c r="CS306" s="67"/>
      <c r="CT306" s="67"/>
      <c r="CU306" s="67"/>
      <c r="CV306" s="67"/>
      <c r="CW306" s="67"/>
      <c r="CX306" s="67"/>
      <c r="CY306" s="67"/>
      <c r="CZ306" s="67"/>
      <c r="DA306" s="67"/>
      <c r="DB306" s="67"/>
      <c r="DC306" s="67"/>
      <c r="DD306" s="67"/>
      <c r="DE306" s="67"/>
      <c r="DF306" s="67"/>
      <c r="DG306" s="67"/>
      <c r="DH306" s="67"/>
      <c r="DI306" s="67"/>
      <c r="DJ306" s="67"/>
      <c r="DK306" s="67"/>
      <c r="DL306" s="67"/>
      <c r="DM306" s="67"/>
      <c r="DN306" s="67"/>
      <c r="DO306" s="67"/>
      <c r="DP306" s="67"/>
      <c r="DQ306" s="67"/>
      <c r="DR306" s="67"/>
      <c r="DS306" s="67"/>
      <c r="DT306" s="67"/>
      <c r="DU306" s="67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  <c r="ER306" s="6"/>
      <c r="ES306" s="6"/>
      <c r="ET306" s="6"/>
      <c r="EU306" s="6"/>
      <c r="EV306" s="6"/>
      <c r="EW306" s="6"/>
      <c r="EX306" s="6"/>
      <c r="EY306" s="6"/>
      <c r="EZ306" s="6"/>
      <c r="FA306" s="6"/>
      <c r="FB306" s="6"/>
      <c r="FC306" s="6"/>
      <c r="FD306" s="6"/>
      <c r="FE306" s="6"/>
      <c r="FF306" s="6"/>
      <c r="FG306" s="6"/>
      <c r="FH306" s="6"/>
      <c r="FI306" s="6"/>
      <c r="FJ306" s="6"/>
      <c r="FK306" s="6"/>
      <c r="FL306" s="6"/>
      <c r="FM306" s="6"/>
      <c r="FN306" s="6"/>
      <c r="FO306" s="6"/>
      <c r="FP306" s="6"/>
      <c r="FQ306" s="6"/>
      <c r="FR306" s="6"/>
      <c r="FS306" s="6"/>
      <c r="FT306" s="6"/>
      <c r="FU306" s="6"/>
      <c r="FV306" s="6"/>
      <c r="FW306" s="6"/>
      <c r="FX306" s="6"/>
      <c r="FY306" s="6"/>
      <c r="FZ306" s="6"/>
      <c r="GA306" s="6"/>
      <c r="GB306" s="6"/>
      <c r="GC306" s="6"/>
      <c r="GD306" s="6"/>
      <c r="GE306" s="6"/>
      <c r="GF306" s="6"/>
      <c r="GG306" s="6"/>
      <c r="GH306" s="6"/>
      <c r="GI306" s="6"/>
      <c r="GJ306" s="6"/>
      <c r="GK306" s="6"/>
      <c r="GL306" s="6"/>
    </row>
    <row r="307" spans="1:194" x14ac:dyDescent="0.25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  <c r="AA307" s="67"/>
      <c r="AB307" s="67"/>
      <c r="AC307" s="67"/>
      <c r="AD307" s="67"/>
      <c r="AE307" s="67"/>
      <c r="AF307" s="67"/>
      <c r="AG307" s="67"/>
      <c r="AH307" s="67"/>
      <c r="AI307" s="67"/>
      <c r="AJ307" s="67"/>
      <c r="AK307" s="67"/>
      <c r="AL307" s="67"/>
      <c r="AM307" s="67"/>
      <c r="AN307" s="67"/>
      <c r="AO307" s="67"/>
      <c r="AP307" s="67"/>
      <c r="AQ307" s="67"/>
      <c r="AR307" s="67"/>
      <c r="AS307" s="67"/>
      <c r="AT307" s="67"/>
      <c r="AU307" s="67"/>
      <c r="AV307" s="67"/>
      <c r="AW307" s="67"/>
      <c r="AX307" s="67"/>
      <c r="AY307" s="67"/>
      <c r="AZ307" s="67"/>
      <c r="BA307" s="67"/>
      <c r="BB307" s="67"/>
      <c r="BC307" s="67"/>
      <c r="BD307" s="67"/>
      <c r="BE307" s="67"/>
      <c r="BF307" s="67"/>
      <c r="BG307" s="67"/>
      <c r="BH307" s="67"/>
      <c r="BI307" s="67"/>
      <c r="BJ307" s="67"/>
      <c r="BK307" s="67"/>
      <c r="BL307" s="67"/>
      <c r="BM307" s="67"/>
      <c r="BN307" s="67"/>
      <c r="BO307" s="67"/>
      <c r="BP307" s="67"/>
      <c r="BQ307" s="67"/>
      <c r="BR307" s="67"/>
      <c r="BS307" s="67"/>
      <c r="BT307" s="67"/>
      <c r="BU307" s="67"/>
      <c r="BV307" s="67"/>
      <c r="BW307" s="67"/>
      <c r="BX307" s="67"/>
      <c r="BY307" s="67"/>
      <c r="BZ307" s="67"/>
      <c r="CA307" s="67"/>
      <c r="CB307" s="67"/>
      <c r="CC307" s="67"/>
      <c r="CD307" s="67"/>
      <c r="CE307" s="67"/>
      <c r="CF307" s="67"/>
      <c r="CG307" s="67"/>
      <c r="CH307" s="67"/>
      <c r="CI307" s="67"/>
      <c r="CJ307" s="67"/>
      <c r="CK307" s="67"/>
      <c r="CL307" s="67"/>
      <c r="CM307" s="67"/>
      <c r="CN307" s="67"/>
      <c r="CO307" s="67"/>
      <c r="CP307" s="67"/>
      <c r="CQ307" s="67"/>
      <c r="CR307" s="67"/>
      <c r="CS307" s="67"/>
      <c r="CT307" s="67"/>
      <c r="CU307" s="67"/>
      <c r="CV307" s="67"/>
      <c r="CW307" s="67"/>
      <c r="CX307" s="67"/>
      <c r="CY307" s="67"/>
      <c r="CZ307" s="67"/>
      <c r="DA307" s="67"/>
      <c r="DB307" s="67"/>
      <c r="DC307" s="67"/>
      <c r="DD307" s="67"/>
      <c r="DE307" s="67"/>
      <c r="DF307" s="67"/>
      <c r="DG307" s="67"/>
      <c r="DH307" s="67"/>
      <c r="DI307" s="67"/>
      <c r="DJ307" s="67"/>
      <c r="DK307" s="67"/>
      <c r="DL307" s="67"/>
      <c r="DM307" s="67"/>
      <c r="DN307" s="67"/>
      <c r="DO307" s="67"/>
      <c r="DP307" s="67"/>
      <c r="DQ307" s="67"/>
      <c r="DR307" s="67"/>
      <c r="DS307" s="67"/>
      <c r="DT307" s="67"/>
      <c r="DU307" s="67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  <c r="ER307" s="6"/>
      <c r="ES307" s="6"/>
      <c r="ET307" s="6"/>
      <c r="EU307" s="6"/>
      <c r="EV307" s="6"/>
      <c r="EW307" s="6"/>
      <c r="EX307" s="6"/>
      <c r="EY307" s="6"/>
      <c r="EZ307" s="6"/>
      <c r="FA307" s="6"/>
      <c r="FB307" s="6"/>
      <c r="FC307" s="6"/>
      <c r="FD307" s="6"/>
      <c r="FE307" s="6"/>
      <c r="FF307" s="6"/>
      <c r="FG307" s="6"/>
      <c r="FH307" s="6"/>
      <c r="FI307" s="6"/>
      <c r="FJ307" s="6"/>
      <c r="FK307" s="6"/>
      <c r="FL307" s="6"/>
      <c r="FM307" s="6"/>
      <c r="FN307" s="6"/>
      <c r="FO307" s="6"/>
      <c r="FP307" s="6"/>
      <c r="FQ307" s="6"/>
      <c r="FR307" s="6"/>
      <c r="FS307" s="6"/>
      <c r="FT307" s="6"/>
      <c r="FU307" s="6"/>
      <c r="FV307" s="6"/>
      <c r="FW307" s="6"/>
      <c r="FX307" s="6"/>
      <c r="FY307" s="6"/>
      <c r="FZ307" s="6"/>
      <c r="GA307" s="6"/>
      <c r="GB307" s="6"/>
      <c r="GC307" s="6"/>
      <c r="GD307" s="6"/>
      <c r="GE307" s="6"/>
      <c r="GF307" s="6"/>
      <c r="GG307" s="6"/>
      <c r="GH307" s="6"/>
      <c r="GI307" s="6"/>
      <c r="GJ307" s="6"/>
      <c r="GK307" s="6"/>
      <c r="GL307" s="6"/>
    </row>
    <row r="308" spans="1:194" x14ac:dyDescent="0.25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  <c r="AA308" s="67"/>
      <c r="AB308" s="67"/>
      <c r="AC308" s="67"/>
      <c r="AD308" s="67"/>
      <c r="AE308" s="67"/>
      <c r="AF308" s="67"/>
      <c r="AG308" s="67"/>
      <c r="AH308" s="67"/>
      <c r="AI308" s="67"/>
      <c r="AJ308" s="67"/>
      <c r="AK308" s="67"/>
      <c r="AL308" s="67"/>
      <c r="AM308" s="67"/>
      <c r="AN308" s="67"/>
      <c r="AO308" s="67"/>
      <c r="AP308" s="67"/>
      <c r="AQ308" s="67"/>
      <c r="AR308" s="67"/>
      <c r="AS308" s="67"/>
      <c r="AT308" s="67"/>
      <c r="AU308" s="67"/>
      <c r="AV308" s="67"/>
      <c r="AW308" s="67"/>
      <c r="AX308" s="67"/>
      <c r="AY308" s="67"/>
      <c r="AZ308" s="67"/>
      <c r="BA308" s="67"/>
      <c r="BB308" s="67"/>
      <c r="BC308" s="67"/>
      <c r="BD308" s="67"/>
      <c r="BE308" s="67"/>
      <c r="BF308" s="67"/>
      <c r="BG308" s="67"/>
      <c r="BH308" s="67"/>
      <c r="BI308" s="67"/>
      <c r="BJ308" s="67"/>
      <c r="BK308" s="67"/>
      <c r="BL308" s="67"/>
      <c r="BM308" s="67"/>
      <c r="BN308" s="67"/>
      <c r="BO308" s="67"/>
      <c r="BP308" s="67"/>
      <c r="BQ308" s="67"/>
      <c r="BR308" s="67"/>
      <c r="BS308" s="67"/>
      <c r="BT308" s="67"/>
      <c r="BU308" s="67"/>
      <c r="BV308" s="67"/>
      <c r="BW308" s="67"/>
      <c r="BX308" s="67"/>
      <c r="BY308" s="67"/>
      <c r="BZ308" s="67"/>
      <c r="CA308" s="67"/>
      <c r="CB308" s="67"/>
      <c r="CC308" s="67"/>
      <c r="CD308" s="67"/>
      <c r="CE308" s="67"/>
      <c r="CF308" s="67"/>
      <c r="CG308" s="67"/>
      <c r="CH308" s="67"/>
      <c r="CI308" s="67"/>
      <c r="CJ308" s="67"/>
      <c r="CK308" s="67"/>
      <c r="CL308" s="67"/>
      <c r="CM308" s="67"/>
      <c r="CN308" s="67"/>
      <c r="CO308" s="67"/>
      <c r="CP308" s="67"/>
      <c r="CQ308" s="67"/>
      <c r="CR308" s="67"/>
      <c r="CS308" s="67"/>
      <c r="CT308" s="67"/>
      <c r="CU308" s="67"/>
      <c r="CV308" s="67"/>
      <c r="CW308" s="67"/>
      <c r="CX308" s="67"/>
      <c r="CY308" s="67"/>
      <c r="CZ308" s="67"/>
      <c r="DA308" s="67"/>
      <c r="DB308" s="67"/>
      <c r="DC308" s="67"/>
      <c r="DD308" s="67"/>
      <c r="DE308" s="67"/>
      <c r="DF308" s="67"/>
      <c r="DG308" s="67"/>
      <c r="DH308" s="67"/>
      <c r="DI308" s="67"/>
      <c r="DJ308" s="67"/>
      <c r="DK308" s="67"/>
      <c r="DL308" s="67"/>
      <c r="DM308" s="67"/>
      <c r="DN308" s="67"/>
      <c r="DO308" s="67"/>
      <c r="DP308" s="67"/>
      <c r="DQ308" s="67"/>
      <c r="DR308" s="67"/>
      <c r="DS308" s="67"/>
      <c r="DT308" s="67"/>
      <c r="DU308" s="67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  <c r="ER308" s="6"/>
      <c r="ES308" s="6"/>
      <c r="ET308" s="6"/>
      <c r="EU308" s="6"/>
      <c r="EV308" s="6"/>
      <c r="EW308" s="6"/>
      <c r="EX308" s="6"/>
      <c r="EY308" s="6"/>
      <c r="EZ308" s="6"/>
      <c r="FA308" s="6"/>
      <c r="FB308" s="6"/>
      <c r="FC308" s="6"/>
      <c r="FD308" s="6"/>
      <c r="FE308" s="6"/>
      <c r="FF308" s="6"/>
      <c r="FG308" s="6"/>
      <c r="FH308" s="6"/>
      <c r="FI308" s="6"/>
      <c r="FJ308" s="6"/>
      <c r="FK308" s="6"/>
      <c r="FL308" s="6"/>
      <c r="FM308" s="6"/>
      <c r="FN308" s="6"/>
      <c r="FO308" s="6"/>
      <c r="FP308" s="6"/>
      <c r="FQ308" s="6"/>
      <c r="FR308" s="6"/>
      <c r="FS308" s="6"/>
      <c r="FT308" s="6"/>
      <c r="FU308" s="6"/>
      <c r="FV308" s="6"/>
      <c r="FW308" s="6"/>
      <c r="FX308" s="6"/>
      <c r="FY308" s="6"/>
      <c r="FZ308" s="6"/>
      <c r="GA308" s="6"/>
      <c r="GB308" s="6"/>
      <c r="GC308" s="6"/>
      <c r="GD308" s="6"/>
      <c r="GE308" s="6"/>
      <c r="GF308" s="6"/>
      <c r="GG308" s="6"/>
      <c r="GH308" s="6"/>
      <c r="GI308" s="6"/>
      <c r="GJ308" s="6"/>
      <c r="GK308" s="6"/>
      <c r="GL308" s="6"/>
    </row>
    <row r="309" spans="1:194" x14ac:dyDescent="0.25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  <c r="AA309" s="67"/>
      <c r="AB309" s="67"/>
      <c r="AC309" s="67"/>
      <c r="AD309" s="67"/>
      <c r="AE309" s="67"/>
      <c r="AF309" s="67"/>
      <c r="AG309" s="67"/>
      <c r="AH309" s="67"/>
      <c r="AI309" s="67"/>
      <c r="AJ309" s="67"/>
      <c r="AK309" s="67"/>
      <c r="AL309" s="67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  <c r="BI309" s="67"/>
      <c r="BJ309" s="67"/>
      <c r="BK309" s="67"/>
      <c r="BL309" s="67"/>
      <c r="BM309" s="67"/>
      <c r="BN309" s="67"/>
      <c r="BO309" s="67"/>
      <c r="BP309" s="67"/>
      <c r="BQ309" s="67"/>
      <c r="BR309" s="67"/>
      <c r="BS309" s="67"/>
      <c r="BT309" s="67"/>
      <c r="BU309" s="67"/>
      <c r="BV309" s="67"/>
      <c r="BW309" s="67"/>
      <c r="BX309" s="67"/>
      <c r="BY309" s="67"/>
      <c r="BZ309" s="67"/>
      <c r="CA309" s="67"/>
      <c r="CB309" s="67"/>
      <c r="CC309" s="67"/>
      <c r="CD309" s="67"/>
      <c r="CE309" s="67"/>
      <c r="CF309" s="67"/>
      <c r="CG309" s="67"/>
      <c r="CH309" s="67"/>
      <c r="CI309" s="67"/>
      <c r="CJ309" s="67"/>
      <c r="CK309" s="67"/>
      <c r="CL309" s="67"/>
      <c r="CM309" s="67"/>
      <c r="CN309" s="67"/>
      <c r="CO309" s="67"/>
      <c r="CP309" s="67"/>
      <c r="CQ309" s="67"/>
      <c r="CR309" s="67"/>
      <c r="CS309" s="67"/>
      <c r="CT309" s="67"/>
      <c r="CU309" s="67"/>
      <c r="CV309" s="67"/>
      <c r="CW309" s="67"/>
      <c r="CX309" s="67"/>
      <c r="CY309" s="67"/>
      <c r="CZ309" s="67"/>
      <c r="DA309" s="67"/>
      <c r="DB309" s="67"/>
      <c r="DC309" s="67"/>
      <c r="DD309" s="67"/>
      <c r="DE309" s="67"/>
      <c r="DF309" s="67"/>
      <c r="DG309" s="67"/>
      <c r="DH309" s="67"/>
      <c r="DI309" s="67"/>
      <c r="DJ309" s="67"/>
      <c r="DK309" s="67"/>
      <c r="DL309" s="67"/>
      <c r="DM309" s="67"/>
      <c r="DN309" s="67"/>
      <c r="DO309" s="67"/>
      <c r="DP309" s="67"/>
      <c r="DQ309" s="67"/>
      <c r="DR309" s="67"/>
      <c r="DS309" s="67"/>
      <c r="DT309" s="67"/>
      <c r="DU309" s="67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  <c r="ER309" s="6"/>
      <c r="ES309" s="6"/>
      <c r="ET309" s="6"/>
      <c r="EU309" s="6"/>
      <c r="EV309" s="6"/>
      <c r="EW309" s="6"/>
      <c r="EX309" s="6"/>
      <c r="EY309" s="6"/>
      <c r="EZ309" s="6"/>
      <c r="FA309" s="6"/>
      <c r="FB309" s="6"/>
      <c r="FC309" s="6"/>
      <c r="FD309" s="6"/>
      <c r="FE309" s="6"/>
      <c r="FF309" s="6"/>
      <c r="FG309" s="6"/>
      <c r="FH309" s="6"/>
      <c r="FI309" s="6"/>
      <c r="FJ309" s="6"/>
      <c r="FK309" s="6"/>
      <c r="FL309" s="6"/>
      <c r="FM309" s="6"/>
      <c r="FN309" s="6"/>
      <c r="FO309" s="6"/>
      <c r="FP309" s="6"/>
      <c r="FQ309" s="6"/>
      <c r="FR309" s="6"/>
      <c r="FS309" s="6"/>
      <c r="FT309" s="6"/>
      <c r="FU309" s="6"/>
      <c r="FV309" s="6"/>
      <c r="FW309" s="6"/>
      <c r="FX309" s="6"/>
      <c r="FY309" s="6"/>
      <c r="FZ309" s="6"/>
      <c r="GA309" s="6"/>
      <c r="GB309" s="6"/>
      <c r="GC309" s="6"/>
      <c r="GD309" s="6"/>
      <c r="GE309" s="6"/>
      <c r="GF309" s="6"/>
      <c r="GG309" s="6"/>
      <c r="GH309" s="6"/>
      <c r="GI309" s="6"/>
      <c r="GJ309" s="6"/>
      <c r="GK309" s="6"/>
      <c r="GL309" s="6"/>
    </row>
    <row r="310" spans="1:194" x14ac:dyDescent="0.25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  <c r="AA310" s="67"/>
      <c r="AB310" s="67"/>
      <c r="AC310" s="67"/>
      <c r="AD310" s="67"/>
      <c r="AE310" s="67"/>
      <c r="AF310" s="67"/>
      <c r="AG310" s="67"/>
      <c r="AH310" s="67"/>
      <c r="AI310" s="67"/>
      <c r="AJ310" s="67"/>
      <c r="AK310" s="67"/>
      <c r="AL310" s="67"/>
      <c r="AM310" s="67"/>
      <c r="AN310" s="67"/>
      <c r="AO310" s="67"/>
      <c r="AP310" s="67"/>
      <c r="AQ310" s="67"/>
      <c r="AR310" s="67"/>
      <c r="AS310" s="67"/>
      <c r="AT310" s="67"/>
      <c r="AU310" s="67"/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  <c r="BI310" s="67"/>
      <c r="BJ310" s="67"/>
      <c r="BK310" s="67"/>
      <c r="BL310" s="67"/>
      <c r="BM310" s="67"/>
      <c r="BN310" s="67"/>
      <c r="BO310" s="67"/>
      <c r="BP310" s="67"/>
      <c r="BQ310" s="67"/>
      <c r="BR310" s="67"/>
      <c r="BS310" s="67"/>
      <c r="BT310" s="67"/>
      <c r="BU310" s="67"/>
      <c r="BV310" s="67"/>
      <c r="BW310" s="67"/>
      <c r="BX310" s="67"/>
      <c r="BY310" s="67"/>
      <c r="BZ310" s="67"/>
      <c r="CA310" s="67"/>
      <c r="CB310" s="67"/>
      <c r="CC310" s="67"/>
      <c r="CD310" s="67"/>
      <c r="CE310" s="67"/>
      <c r="CF310" s="67"/>
      <c r="CG310" s="67"/>
      <c r="CH310" s="67"/>
      <c r="CI310" s="67"/>
      <c r="CJ310" s="67"/>
      <c r="CK310" s="67"/>
      <c r="CL310" s="67"/>
      <c r="CM310" s="67"/>
      <c r="CN310" s="67"/>
      <c r="CO310" s="67"/>
      <c r="CP310" s="67"/>
      <c r="CQ310" s="67"/>
      <c r="CR310" s="67"/>
      <c r="CS310" s="67"/>
      <c r="CT310" s="67"/>
      <c r="CU310" s="67"/>
      <c r="CV310" s="67"/>
      <c r="CW310" s="67"/>
      <c r="CX310" s="67"/>
      <c r="CY310" s="67"/>
      <c r="CZ310" s="67"/>
      <c r="DA310" s="67"/>
      <c r="DB310" s="67"/>
      <c r="DC310" s="67"/>
      <c r="DD310" s="67"/>
      <c r="DE310" s="67"/>
      <c r="DF310" s="67"/>
      <c r="DG310" s="67"/>
      <c r="DH310" s="67"/>
      <c r="DI310" s="67"/>
      <c r="DJ310" s="67"/>
      <c r="DK310" s="67"/>
      <c r="DL310" s="67"/>
      <c r="DM310" s="67"/>
      <c r="DN310" s="67"/>
      <c r="DO310" s="67"/>
      <c r="DP310" s="67"/>
      <c r="DQ310" s="67"/>
      <c r="DR310" s="67"/>
      <c r="DS310" s="67"/>
      <c r="DT310" s="67"/>
      <c r="DU310" s="67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  <c r="ER310" s="6"/>
      <c r="ES310" s="6"/>
      <c r="ET310" s="6"/>
      <c r="EU310" s="6"/>
      <c r="EV310" s="6"/>
      <c r="EW310" s="6"/>
      <c r="EX310" s="6"/>
      <c r="EY310" s="6"/>
      <c r="EZ310" s="6"/>
      <c r="FA310" s="6"/>
      <c r="FB310" s="6"/>
      <c r="FC310" s="6"/>
      <c r="FD310" s="6"/>
      <c r="FE310" s="6"/>
      <c r="FF310" s="6"/>
      <c r="FG310" s="6"/>
      <c r="FH310" s="6"/>
      <c r="FI310" s="6"/>
      <c r="FJ310" s="6"/>
      <c r="FK310" s="6"/>
      <c r="FL310" s="6"/>
      <c r="FM310" s="6"/>
      <c r="FN310" s="6"/>
      <c r="FO310" s="6"/>
      <c r="FP310" s="6"/>
      <c r="FQ310" s="6"/>
      <c r="FR310" s="6"/>
      <c r="FS310" s="6"/>
      <c r="FT310" s="6"/>
      <c r="FU310" s="6"/>
      <c r="FV310" s="6"/>
      <c r="FW310" s="6"/>
      <c r="FX310" s="6"/>
      <c r="FY310" s="6"/>
      <c r="FZ310" s="6"/>
      <c r="GA310" s="6"/>
      <c r="GB310" s="6"/>
      <c r="GC310" s="6"/>
      <c r="GD310" s="6"/>
      <c r="GE310" s="6"/>
      <c r="GF310" s="6"/>
      <c r="GG310" s="6"/>
      <c r="GH310" s="6"/>
      <c r="GI310" s="6"/>
      <c r="GJ310" s="6"/>
      <c r="GK310" s="6"/>
      <c r="GL310" s="6"/>
    </row>
    <row r="311" spans="1:194" x14ac:dyDescent="0.25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  <c r="AA311" s="67"/>
      <c r="AB311" s="67"/>
      <c r="AC311" s="67"/>
      <c r="AD311" s="67"/>
      <c r="AE311" s="67"/>
      <c r="AF311" s="67"/>
      <c r="AG311" s="67"/>
      <c r="AH311" s="67"/>
      <c r="AI311" s="67"/>
      <c r="AJ311" s="67"/>
      <c r="AK311" s="67"/>
      <c r="AL311" s="67"/>
      <c r="AM311" s="67"/>
      <c r="AN311" s="67"/>
      <c r="AO311" s="67"/>
      <c r="AP311" s="67"/>
      <c r="AQ311" s="67"/>
      <c r="AR311" s="67"/>
      <c r="AS311" s="67"/>
      <c r="AT311" s="67"/>
      <c r="AU311" s="67"/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  <c r="BI311" s="67"/>
      <c r="BJ311" s="67"/>
      <c r="BK311" s="67"/>
      <c r="BL311" s="67"/>
      <c r="BM311" s="67"/>
      <c r="BN311" s="67"/>
      <c r="BO311" s="67"/>
      <c r="BP311" s="67"/>
      <c r="BQ311" s="67"/>
      <c r="BR311" s="67"/>
      <c r="BS311" s="67"/>
      <c r="BT311" s="67"/>
      <c r="BU311" s="67"/>
      <c r="BV311" s="67"/>
      <c r="BW311" s="67"/>
      <c r="BX311" s="67"/>
      <c r="BY311" s="67"/>
      <c r="BZ311" s="67"/>
      <c r="CA311" s="67"/>
      <c r="CB311" s="67"/>
      <c r="CC311" s="67"/>
      <c r="CD311" s="67"/>
      <c r="CE311" s="67"/>
      <c r="CF311" s="67"/>
      <c r="CG311" s="67"/>
      <c r="CH311" s="67"/>
      <c r="CI311" s="67"/>
      <c r="CJ311" s="67"/>
      <c r="CK311" s="67"/>
      <c r="CL311" s="67"/>
      <c r="CM311" s="67"/>
      <c r="CN311" s="67"/>
      <c r="CO311" s="67"/>
      <c r="CP311" s="67"/>
      <c r="CQ311" s="67"/>
      <c r="CR311" s="67"/>
      <c r="CS311" s="67"/>
      <c r="CT311" s="67"/>
      <c r="CU311" s="67"/>
      <c r="CV311" s="67"/>
      <c r="CW311" s="67"/>
      <c r="CX311" s="67"/>
      <c r="CY311" s="67"/>
      <c r="CZ311" s="67"/>
      <c r="DA311" s="67"/>
      <c r="DB311" s="67"/>
      <c r="DC311" s="67"/>
      <c r="DD311" s="67"/>
      <c r="DE311" s="67"/>
      <c r="DF311" s="67"/>
      <c r="DG311" s="67"/>
      <c r="DH311" s="67"/>
      <c r="DI311" s="67"/>
      <c r="DJ311" s="67"/>
      <c r="DK311" s="67"/>
      <c r="DL311" s="67"/>
      <c r="DM311" s="67"/>
      <c r="DN311" s="67"/>
      <c r="DO311" s="67"/>
      <c r="DP311" s="67"/>
      <c r="DQ311" s="67"/>
      <c r="DR311" s="67"/>
      <c r="DS311" s="67"/>
      <c r="DT311" s="67"/>
      <c r="DU311" s="67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  <c r="ER311" s="6"/>
      <c r="ES311" s="6"/>
      <c r="ET311" s="6"/>
      <c r="EU311" s="6"/>
      <c r="EV311" s="6"/>
      <c r="EW311" s="6"/>
      <c r="EX311" s="6"/>
      <c r="EY311" s="6"/>
      <c r="EZ311" s="6"/>
      <c r="FA311" s="6"/>
      <c r="FB311" s="6"/>
      <c r="FC311" s="6"/>
      <c r="FD311" s="6"/>
      <c r="FE311" s="6"/>
      <c r="FF311" s="6"/>
      <c r="FG311" s="6"/>
      <c r="FH311" s="6"/>
      <c r="FI311" s="6"/>
      <c r="FJ311" s="6"/>
      <c r="FK311" s="6"/>
      <c r="FL311" s="6"/>
      <c r="FM311" s="6"/>
      <c r="FN311" s="6"/>
      <c r="FO311" s="6"/>
      <c r="FP311" s="6"/>
      <c r="FQ311" s="6"/>
      <c r="FR311" s="6"/>
      <c r="FS311" s="6"/>
      <c r="FT311" s="6"/>
      <c r="FU311" s="6"/>
      <c r="FV311" s="6"/>
      <c r="FW311" s="6"/>
      <c r="FX311" s="6"/>
      <c r="FY311" s="6"/>
      <c r="FZ311" s="6"/>
      <c r="GA311" s="6"/>
      <c r="GB311" s="6"/>
      <c r="GC311" s="6"/>
      <c r="GD311" s="6"/>
      <c r="GE311" s="6"/>
      <c r="GF311" s="6"/>
      <c r="GG311" s="6"/>
      <c r="GH311" s="6"/>
      <c r="GI311" s="6"/>
      <c r="GJ311" s="6"/>
      <c r="GK311" s="6"/>
      <c r="GL311" s="6"/>
    </row>
    <row r="312" spans="1:194" x14ac:dyDescent="0.25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/>
      <c r="AH312" s="67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7"/>
      <c r="AT312" s="67"/>
      <c r="AU312" s="67"/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  <c r="BI312" s="67"/>
      <c r="BJ312" s="67"/>
      <c r="BK312" s="67"/>
      <c r="BL312" s="67"/>
      <c r="BM312" s="67"/>
      <c r="BN312" s="67"/>
      <c r="BO312" s="67"/>
      <c r="BP312" s="67"/>
      <c r="BQ312" s="67"/>
      <c r="BR312" s="67"/>
      <c r="BS312" s="67"/>
      <c r="BT312" s="67"/>
      <c r="BU312" s="67"/>
      <c r="BV312" s="67"/>
      <c r="BW312" s="67"/>
      <c r="BX312" s="67"/>
      <c r="BY312" s="67"/>
      <c r="BZ312" s="67"/>
      <c r="CA312" s="67"/>
      <c r="CB312" s="67"/>
      <c r="CC312" s="67"/>
      <c r="CD312" s="67"/>
      <c r="CE312" s="67"/>
      <c r="CF312" s="67"/>
      <c r="CG312" s="67"/>
      <c r="CH312" s="67"/>
      <c r="CI312" s="67"/>
      <c r="CJ312" s="67"/>
      <c r="CK312" s="67"/>
      <c r="CL312" s="67"/>
      <c r="CM312" s="67"/>
      <c r="CN312" s="67"/>
      <c r="CO312" s="67"/>
      <c r="CP312" s="67"/>
      <c r="CQ312" s="67"/>
      <c r="CR312" s="67"/>
      <c r="CS312" s="67"/>
      <c r="CT312" s="67"/>
      <c r="CU312" s="67"/>
      <c r="CV312" s="67"/>
      <c r="CW312" s="67"/>
      <c r="CX312" s="67"/>
      <c r="CY312" s="67"/>
      <c r="CZ312" s="67"/>
      <c r="DA312" s="67"/>
      <c r="DB312" s="67"/>
      <c r="DC312" s="67"/>
      <c r="DD312" s="67"/>
      <c r="DE312" s="67"/>
      <c r="DF312" s="67"/>
      <c r="DG312" s="67"/>
      <c r="DH312" s="67"/>
      <c r="DI312" s="67"/>
      <c r="DJ312" s="67"/>
      <c r="DK312" s="67"/>
      <c r="DL312" s="67"/>
      <c r="DM312" s="67"/>
      <c r="DN312" s="67"/>
      <c r="DO312" s="67"/>
      <c r="DP312" s="67"/>
      <c r="DQ312" s="67"/>
      <c r="DR312" s="67"/>
      <c r="DS312" s="67"/>
      <c r="DT312" s="67"/>
      <c r="DU312" s="67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  <c r="ER312" s="6"/>
      <c r="ES312" s="6"/>
      <c r="ET312" s="6"/>
      <c r="EU312" s="6"/>
      <c r="EV312" s="6"/>
      <c r="EW312" s="6"/>
      <c r="EX312" s="6"/>
      <c r="EY312" s="6"/>
      <c r="EZ312" s="6"/>
      <c r="FA312" s="6"/>
      <c r="FB312" s="6"/>
      <c r="FC312" s="6"/>
      <c r="FD312" s="6"/>
      <c r="FE312" s="6"/>
      <c r="FF312" s="6"/>
      <c r="FG312" s="6"/>
      <c r="FH312" s="6"/>
      <c r="FI312" s="6"/>
      <c r="FJ312" s="6"/>
      <c r="FK312" s="6"/>
      <c r="FL312" s="6"/>
      <c r="FM312" s="6"/>
      <c r="FN312" s="6"/>
      <c r="FO312" s="6"/>
      <c r="FP312" s="6"/>
      <c r="FQ312" s="6"/>
      <c r="FR312" s="6"/>
      <c r="FS312" s="6"/>
      <c r="FT312" s="6"/>
      <c r="FU312" s="6"/>
      <c r="FV312" s="6"/>
      <c r="FW312" s="6"/>
      <c r="FX312" s="6"/>
      <c r="FY312" s="6"/>
      <c r="FZ312" s="6"/>
      <c r="GA312" s="6"/>
      <c r="GB312" s="6"/>
      <c r="GC312" s="6"/>
      <c r="GD312" s="6"/>
      <c r="GE312" s="6"/>
      <c r="GF312" s="6"/>
      <c r="GG312" s="6"/>
      <c r="GH312" s="6"/>
      <c r="GI312" s="6"/>
      <c r="GJ312" s="6"/>
      <c r="GK312" s="6"/>
      <c r="GL312" s="6"/>
    </row>
    <row r="313" spans="1:194" x14ac:dyDescent="0.25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  <c r="AA313" s="67"/>
      <c r="AB313" s="67"/>
      <c r="AC313" s="67"/>
      <c r="AD313" s="67"/>
      <c r="AE313" s="67"/>
      <c r="AF313" s="67"/>
      <c r="AG313" s="67"/>
      <c r="AH313" s="67"/>
      <c r="AI313" s="67"/>
      <c r="AJ313" s="67"/>
      <c r="AK313" s="67"/>
      <c r="AL313" s="67"/>
      <c r="AM313" s="67"/>
      <c r="AN313" s="67"/>
      <c r="AO313" s="67"/>
      <c r="AP313" s="67"/>
      <c r="AQ313" s="67"/>
      <c r="AR313" s="67"/>
      <c r="AS313" s="67"/>
      <c r="AT313" s="67"/>
      <c r="AU313" s="67"/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  <c r="BI313" s="67"/>
      <c r="BJ313" s="67"/>
      <c r="BK313" s="67"/>
      <c r="BL313" s="67"/>
      <c r="BM313" s="67"/>
      <c r="BN313" s="67"/>
      <c r="BO313" s="67"/>
      <c r="BP313" s="67"/>
      <c r="BQ313" s="67"/>
      <c r="BR313" s="67"/>
      <c r="BS313" s="67"/>
      <c r="BT313" s="67"/>
      <c r="BU313" s="67"/>
      <c r="BV313" s="67"/>
      <c r="BW313" s="67"/>
      <c r="BX313" s="67"/>
      <c r="BY313" s="67"/>
      <c r="BZ313" s="67"/>
      <c r="CA313" s="67"/>
      <c r="CB313" s="67"/>
      <c r="CC313" s="67"/>
      <c r="CD313" s="67"/>
      <c r="CE313" s="67"/>
      <c r="CF313" s="67"/>
      <c r="CG313" s="67"/>
      <c r="CH313" s="67"/>
      <c r="CI313" s="67"/>
      <c r="CJ313" s="67"/>
      <c r="CK313" s="67"/>
      <c r="CL313" s="67"/>
      <c r="CM313" s="67"/>
      <c r="CN313" s="67"/>
      <c r="CO313" s="67"/>
      <c r="CP313" s="67"/>
      <c r="CQ313" s="67"/>
      <c r="CR313" s="67"/>
      <c r="CS313" s="67"/>
      <c r="CT313" s="67"/>
      <c r="CU313" s="67"/>
      <c r="CV313" s="67"/>
      <c r="CW313" s="67"/>
      <c r="CX313" s="67"/>
      <c r="CY313" s="67"/>
      <c r="CZ313" s="67"/>
      <c r="DA313" s="67"/>
      <c r="DB313" s="67"/>
      <c r="DC313" s="67"/>
      <c r="DD313" s="67"/>
      <c r="DE313" s="67"/>
      <c r="DF313" s="67"/>
      <c r="DG313" s="67"/>
      <c r="DH313" s="67"/>
      <c r="DI313" s="67"/>
      <c r="DJ313" s="67"/>
      <c r="DK313" s="67"/>
      <c r="DL313" s="67"/>
      <c r="DM313" s="67"/>
      <c r="DN313" s="67"/>
      <c r="DO313" s="67"/>
      <c r="DP313" s="67"/>
      <c r="DQ313" s="67"/>
      <c r="DR313" s="67"/>
      <c r="DS313" s="67"/>
      <c r="DT313" s="67"/>
      <c r="DU313" s="67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  <c r="ER313" s="6"/>
      <c r="ES313" s="6"/>
      <c r="ET313" s="6"/>
      <c r="EU313" s="6"/>
      <c r="EV313" s="6"/>
      <c r="EW313" s="6"/>
      <c r="EX313" s="6"/>
      <c r="EY313" s="6"/>
      <c r="EZ313" s="6"/>
      <c r="FA313" s="6"/>
      <c r="FB313" s="6"/>
      <c r="FC313" s="6"/>
      <c r="FD313" s="6"/>
      <c r="FE313" s="6"/>
      <c r="FF313" s="6"/>
      <c r="FG313" s="6"/>
      <c r="FH313" s="6"/>
      <c r="FI313" s="6"/>
      <c r="FJ313" s="6"/>
      <c r="FK313" s="6"/>
      <c r="FL313" s="6"/>
      <c r="FM313" s="6"/>
      <c r="FN313" s="6"/>
      <c r="FO313" s="6"/>
      <c r="FP313" s="6"/>
      <c r="FQ313" s="6"/>
      <c r="FR313" s="6"/>
      <c r="FS313" s="6"/>
      <c r="FT313" s="6"/>
      <c r="FU313" s="6"/>
      <c r="FV313" s="6"/>
      <c r="FW313" s="6"/>
      <c r="FX313" s="6"/>
      <c r="FY313" s="6"/>
      <c r="FZ313" s="6"/>
      <c r="GA313" s="6"/>
      <c r="GB313" s="6"/>
      <c r="GC313" s="6"/>
      <c r="GD313" s="6"/>
      <c r="GE313" s="6"/>
      <c r="GF313" s="6"/>
      <c r="GG313" s="6"/>
      <c r="GH313" s="6"/>
      <c r="GI313" s="6"/>
      <c r="GJ313" s="6"/>
      <c r="GK313" s="6"/>
      <c r="GL313" s="6"/>
    </row>
    <row r="314" spans="1:194" x14ac:dyDescent="0.25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  <c r="AA314" s="67"/>
      <c r="AB314" s="67"/>
      <c r="AC314" s="67"/>
      <c r="AD314" s="67"/>
      <c r="AE314" s="67"/>
      <c r="AF314" s="67"/>
      <c r="AG314" s="67"/>
      <c r="AH314" s="67"/>
      <c r="AI314" s="67"/>
      <c r="AJ314" s="67"/>
      <c r="AK314" s="67"/>
      <c r="AL314" s="67"/>
      <c r="AM314" s="67"/>
      <c r="AN314" s="67"/>
      <c r="AO314" s="67"/>
      <c r="AP314" s="67"/>
      <c r="AQ314" s="67"/>
      <c r="AR314" s="67"/>
      <c r="AS314" s="67"/>
      <c r="AT314" s="67"/>
      <c r="AU314" s="67"/>
      <c r="AV314" s="67"/>
      <c r="AW314" s="67"/>
      <c r="AX314" s="67"/>
      <c r="AY314" s="67"/>
      <c r="AZ314" s="67"/>
      <c r="BA314" s="67"/>
      <c r="BB314" s="67"/>
      <c r="BC314" s="67"/>
      <c r="BD314" s="67"/>
      <c r="BE314" s="67"/>
      <c r="BF314" s="67"/>
      <c r="BG314" s="67"/>
      <c r="BH314" s="67"/>
      <c r="BI314" s="67"/>
      <c r="BJ314" s="67"/>
      <c r="BK314" s="67"/>
      <c r="BL314" s="67"/>
      <c r="BM314" s="67"/>
      <c r="BN314" s="67"/>
      <c r="BO314" s="67"/>
      <c r="BP314" s="67"/>
      <c r="BQ314" s="67"/>
      <c r="BR314" s="67"/>
      <c r="BS314" s="67"/>
      <c r="BT314" s="67"/>
      <c r="BU314" s="67"/>
      <c r="BV314" s="67"/>
      <c r="BW314" s="67"/>
      <c r="BX314" s="67"/>
      <c r="BY314" s="67"/>
      <c r="BZ314" s="67"/>
      <c r="CA314" s="67"/>
      <c r="CB314" s="67"/>
      <c r="CC314" s="67"/>
      <c r="CD314" s="67"/>
      <c r="CE314" s="67"/>
      <c r="CF314" s="67"/>
      <c r="CG314" s="67"/>
      <c r="CH314" s="67"/>
      <c r="CI314" s="67"/>
      <c r="CJ314" s="67"/>
      <c r="CK314" s="67"/>
      <c r="CL314" s="67"/>
      <c r="CM314" s="67"/>
      <c r="CN314" s="67"/>
      <c r="CO314" s="67"/>
      <c r="CP314" s="67"/>
      <c r="CQ314" s="67"/>
      <c r="CR314" s="67"/>
      <c r="CS314" s="67"/>
      <c r="CT314" s="67"/>
      <c r="CU314" s="67"/>
      <c r="CV314" s="67"/>
      <c r="CW314" s="67"/>
      <c r="CX314" s="67"/>
      <c r="CY314" s="67"/>
      <c r="CZ314" s="67"/>
      <c r="DA314" s="67"/>
      <c r="DB314" s="67"/>
      <c r="DC314" s="67"/>
      <c r="DD314" s="67"/>
      <c r="DE314" s="67"/>
      <c r="DF314" s="67"/>
      <c r="DG314" s="67"/>
      <c r="DH314" s="67"/>
      <c r="DI314" s="67"/>
      <c r="DJ314" s="67"/>
      <c r="DK314" s="67"/>
      <c r="DL314" s="67"/>
      <c r="DM314" s="67"/>
      <c r="DN314" s="67"/>
      <c r="DO314" s="67"/>
      <c r="DP314" s="67"/>
      <c r="DQ314" s="67"/>
      <c r="DR314" s="67"/>
      <c r="DS314" s="67"/>
      <c r="DT314" s="67"/>
      <c r="DU314" s="67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  <c r="ER314" s="6"/>
      <c r="ES314" s="6"/>
      <c r="ET314" s="6"/>
      <c r="EU314" s="6"/>
      <c r="EV314" s="6"/>
      <c r="EW314" s="6"/>
      <c r="EX314" s="6"/>
      <c r="EY314" s="6"/>
      <c r="EZ314" s="6"/>
      <c r="FA314" s="6"/>
      <c r="FB314" s="6"/>
      <c r="FC314" s="6"/>
      <c r="FD314" s="6"/>
      <c r="FE314" s="6"/>
      <c r="FF314" s="6"/>
      <c r="FG314" s="6"/>
      <c r="FH314" s="6"/>
      <c r="FI314" s="6"/>
      <c r="FJ314" s="6"/>
      <c r="FK314" s="6"/>
      <c r="FL314" s="6"/>
      <c r="FM314" s="6"/>
      <c r="FN314" s="6"/>
      <c r="FO314" s="6"/>
      <c r="FP314" s="6"/>
      <c r="FQ314" s="6"/>
      <c r="FR314" s="6"/>
      <c r="FS314" s="6"/>
      <c r="FT314" s="6"/>
      <c r="FU314" s="6"/>
      <c r="FV314" s="6"/>
      <c r="FW314" s="6"/>
      <c r="FX314" s="6"/>
      <c r="FY314" s="6"/>
      <c r="FZ314" s="6"/>
      <c r="GA314" s="6"/>
      <c r="GB314" s="6"/>
      <c r="GC314" s="6"/>
      <c r="GD314" s="6"/>
      <c r="GE314" s="6"/>
      <c r="GF314" s="6"/>
      <c r="GG314" s="6"/>
      <c r="GH314" s="6"/>
      <c r="GI314" s="6"/>
      <c r="GJ314" s="6"/>
      <c r="GK314" s="6"/>
      <c r="GL314" s="6"/>
    </row>
    <row r="315" spans="1:194" x14ac:dyDescent="0.25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  <c r="AA315" s="67"/>
      <c r="AB315" s="67"/>
      <c r="AC315" s="67"/>
      <c r="AD315" s="67"/>
      <c r="AE315" s="67"/>
      <c r="AF315" s="67"/>
      <c r="AG315" s="67"/>
      <c r="AH315" s="67"/>
      <c r="AI315" s="67"/>
      <c r="AJ315" s="67"/>
      <c r="AK315" s="67"/>
      <c r="AL315" s="67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  <c r="BI315" s="67"/>
      <c r="BJ315" s="67"/>
      <c r="BK315" s="67"/>
      <c r="BL315" s="67"/>
      <c r="BM315" s="67"/>
      <c r="BN315" s="67"/>
      <c r="BO315" s="67"/>
      <c r="BP315" s="67"/>
      <c r="BQ315" s="67"/>
      <c r="BR315" s="67"/>
      <c r="BS315" s="67"/>
      <c r="BT315" s="67"/>
      <c r="BU315" s="67"/>
      <c r="BV315" s="67"/>
      <c r="BW315" s="67"/>
      <c r="BX315" s="67"/>
      <c r="BY315" s="67"/>
      <c r="BZ315" s="67"/>
      <c r="CA315" s="67"/>
      <c r="CB315" s="67"/>
      <c r="CC315" s="67"/>
      <c r="CD315" s="67"/>
      <c r="CE315" s="67"/>
      <c r="CF315" s="67"/>
      <c r="CG315" s="67"/>
      <c r="CH315" s="67"/>
      <c r="CI315" s="67"/>
      <c r="CJ315" s="67"/>
      <c r="CK315" s="67"/>
      <c r="CL315" s="67"/>
      <c r="CM315" s="67"/>
      <c r="CN315" s="67"/>
      <c r="CO315" s="67"/>
      <c r="CP315" s="67"/>
      <c r="CQ315" s="67"/>
      <c r="CR315" s="67"/>
      <c r="CS315" s="67"/>
      <c r="CT315" s="67"/>
      <c r="CU315" s="67"/>
      <c r="CV315" s="67"/>
      <c r="CW315" s="67"/>
      <c r="CX315" s="67"/>
      <c r="CY315" s="67"/>
      <c r="CZ315" s="67"/>
      <c r="DA315" s="67"/>
      <c r="DB315" s="67"/>
      <c r="DC315" s="67"/>
      <c r="DD315" s="67"/>
      <c r="DE315" s="67"/>
      <c r="DF315" s="67"/>
      <c r="DG315" s="67"/>
      <c r="DH315" s="67"/>
      <c r="DI315" s="67"/>
      <c r="DJ315" s="67"/>
      <c r="DK315" s="67"/>
      <c r="DL315" s="67"/>
      <c r="DM315" s="67"/>
      <c r="DN315" s="67"/>
      <c r="DO315" s="67"/>
      <c r="DP315" s="67"/>
      <c r="DQ315" s="67"/>
      <c r="DR315" s="67"/>
      <c r="DS315" s="67"/>
      <c r="DT315" s="67"/>
      <c r="DU315" s="67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  <c r="ER315" s="6"/>
      <c r="ES315" s="6"/>
      <c r="ET315" s="6"/>
      <c r="EU315" s="6"/>
      <c r="EV315" s="6"/>
      <c r="EW315" s="6"/>
      <c r="EX315" s="6"/>
      <c r="EY315" s="6"/>
      <c r="EZ315" s="6"/>
      <c r="FA315" s="6"/>
      <c r="FB315" s="6"/>
      <c r="FC315" s="6"/>
      <c r="FD315" s="6"/>
      <c r="FE315" s="6"/>
      <c r="FF315" s="6"/>
      <c r="FG315" s="6"/>
      <c r="FH315" s="6"/>
      <c r="FI315" s="6"/>
      <c r="FJ315" s="6"/>
      <c r="FK315" s="6"/>
      <c r="FL315" s="6"/>
      <c r="FM315" s="6"/>
      <c r="FN315" s="6"/>
      <c r="FO315" s="6"/>
      <c r="FP315" s="6"/>
      <c r="FQ315" s="6"/>
      <c r="FR315" s="6"/>
      <c r="FS315" s="6"/>
      <c r="FT315" s="6"/>
      <c r="FU315" s="6"/>
      <c r="FV315" s="6"/>
      <c r="FW315" s="6"/>
      <c r="FX315" s="6"/>
      <c r="FY315" s="6"/>
      <c r="FZ315" s="6"/>
      <c r="GA315" s="6"/>
      <c r="GB315" s="6"/>
      <c r="GC315" s="6"/>
      <c r="GD315" s="6"/>
      <c r="GE315" s="6"/>
      <c r="GF315" s="6"/>
      <c r="GG315" s="6"/>
      <c r="GH315" s="6"/>
      <c r="GI315" s="6"/>
      <c r="GJ315" s="6"/>
      <c r="GK315" s="6"/>
      <c r="GL315" s="6"/>
    </row>
    <row r="316" spans="1:194" x14ac:dyDescent="0.25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  <c r="AA316" s="67"/>
      <c r="AB316" s="67"/>
      <c r="AC316" s="67"/>
      <c r="AD316" s="67"/>
      <c r="AE316" s="67"/>
      <c r="AF316" s="67"/>
      <c r="AG316" s="67"/>
      <c r="AH316" s="67"/>
      <c r="AI316" s="67"/>
      <c r="AJ316" s="67"/>
      <c r="AK316" s="67"/>
      <c r="AL316" s="67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/>
      <c r="BD316" s="67"/>
      <c r="BE316" s="67"/>
      <c r="BF316" s="67"/>
      <c r="BG316" s="67"/>
      <c r="BH316" s="67"/>
      <c r="BI316" s="67"/>
      <c r="BJ316" s="67"/>
      <c r="BK316" s="67"/>
      <c r="BL316" s="67"/>
      <c r="BM316" s="67"/>
      <c r="BN316" s="67"/>
      <c r="BO316" s="67"/>
      <c r="BP316" s="67"/>
      <c r="BQ316" s="67"/>
      <c r="BR316" s="67"/>
      <c r="BS316" s="67"/>
      <c r="BT316" s="67"/>
      <c r="BU316" s="67"/>
      <c r="BV316" s="67"/>
      <c r="BW316" s="67"/>
      <c r="BX316" s="67"/>
      <c r="BY316" s="67"/>
      <c r="BZ316" s="67"/>
      <c r="CA316" s="67"/>
      <c r="CB316" s="67"/>
      <c r="CC316" s="67"/>
      <c r="CD316" s="67"/>
      <c r="CE316" s="67"/>
      <c r="CF316" s="67"/>
      <c r="CG316" s="67"/>
      <c r="CH316" s="67"/>
      <c r="CI316" s="67"/>
      <c r="CJ316" s="67"/>
      <c r="CK316" s="67"/>
      <c r="CL316" s="67"/>
      <c r="CM316" s="67"/>
      <c r="CN316" s="67"/>
      <c r="CO316" s="67"/>
      <c r="CP316" s="67"/>
      <c r="CQ316" s="67"/>
      <c r="CR316" s="67"/>
      <c r="CS316" s="67"/>
      <c r="CT316" s="67"/>
      <c r="CU316" s="67"/>
      <c r="CV316" s="67"/>
      <c r="CW316" s="67"/>
      <c r="CX316" s="67"/>
      <c r="CY316" s="67"/>
      <c r="CZ316" s="67"/>
      <c r="DA316" s="67"/>
      <c r="DB316" s="67"/>
      <c r="DC316" s="67"/>
      <c r="DD316" s="67"/>
      <c r="DE316" s="67"/>
      <c r="DF316" s="67"/>
      <c r="DG316" s="67"/>
      <c r="DH316" s="67"/>
      <c r="DI316" s="67"/>
      <c r="DJ316" s="67"/>
      <c r="DK316" s="67"/>
      <c r="DL316" s="67"/>
      <c r="DM316" s="67"/>
      <c r="DN316" s="67"/>
      <c r="DO316" s="67"/>
      <c r="DP316" s="67"/>
      <c r="DQ316" s="67"/>
      <c r="DR316" s="67"/>
      <c r="DS316" s="67"/>
      <c r="DT316" s="67"/>
      <c r="DU316" s="67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  <c r="ER316" s="6"/>
      <c r="ES316" s="6"/>
      <c r="ET316" s="6"/>
      <c r="EU316" s="6"/>
      <c r="EV316" s="6"/>
      <c r="EW316" s="6"/>
      <c r="EX316" s="6"/>
      <c r="EY316" s="6"/>
      <c r="EZ316" s="6"/>
      <c r="FA316" s="6"/>
      <c r="FB316" s="6"/>
      <c r="FC316" s="6"/>
      <c r="FD316" s="6"/>
      <c r="FE316" s="6"/>
      <c r="FF316" s="6"/>
      <c r="FG316" s="6"/>
      <c r="FH316" s="6"/>
      <c r="FI316" s="6"/>
      <c r="FJ316" s="6"/>
      <c r="FK316" s="6"/>
      <c r="FL316" s="6"/>
      <c r="FM316" s="6"/>
      <c r="FN316" s="6"/>
      <c r="FO316" s="6"/>
      <c r="FP316" s="6"/>
      <c r="FQ316" s="6"/>
      <c r="FR316" s="6"/>
      <c r="FS316" s="6"/>
      <c r="FT316" s="6"/>
      <c r="FU316" s="6"/>
      <c r="FV316" s="6"/>
      <c r="FW316" s="6"/>
      <c r="FX316" s="6"/>
      <c r="FY316" s="6"/>
      <c r="FZ316" s="6"/>
      <c r="GA316" s="6"/>
      <c r="GB316" s="6"/>
      <c r="GC316" s="6"/>
      <c r="GD316" s="6"/>
      <c r="GE316" s="6"/>
      <c r="GF316" s="6"/>
      <c r="GG316" s="6"/>
      <c r="GH316" s="6"/>
      <c r="GI316" s="6"/>
      <c r="GJ316" s="6"/>
      <c r="GK316" s="6"/>
      <c r="GL316" s="6"/>
    </row>
    <row r="317" spans="1:194" x14ac:dyDescent="0.25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  <c r="AA317" s="67"/>
      <c r="AB317" s="67"/>
      <c r="AC317" s="67"/>
      <c r="AD317" s="67"/>
      <c r="AE317" s="67"/>
      <c r="AF317" s="67"/>
      <c r="AG317" s="67"/>
      <c r="AH317" s="67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7"/>
      <c r="AT317" s="67"/>
      <c r="AU317" s="67"/>
      <c r="AV317" s="67"/>
      <c r="AW317" s="67"/>
      <c r="AX317" s="67"/>
      <c r="AY317" s="67"/>
      <c r="AZ317" s="67"/>
      <c r="BA317" s="67"/>
      <c r="BB317" s="67"/>
      <c r="BC317" s="67"/>
      <c r="BD317" s="67"/>
      <c r="BE317" s="67"/>
      <c r="BF317" s="67"/>
      <c r="BG317" s="67"/>
      <c r="BH317" s="67"/>
      <c r="BI317" s="67"/>
      <c r="BJ317" s="67"/>
      <c r="BK317" s="67"/>
      <c r="BL317" s="67"/>
      <c r="BM317" s="67"/>
      <c r="BN317" s="67"/>
      <c r="BO317" s="67"/>
      <c r="BP317" s="67"/>
      <c r="BQ317" s="67"/>
      <c r="BR317" s="67"/>
      <c r="BS317" s="67"/>
      <c r="BT317" s="67"/>
      <c r="BU317" s="67"/>
      <c r="BV317" s="67"/>
      <c r="BW317" s="67"/>
      <c r="BX317" s="67"/>
      <c r="BY317" s="67"/>
      <c r="BZ317" s="67"/>
      <c r="CA317" s="67"/>
      <c r="CB317" s="67"/>
      <c r="CC317" s="67"/>
      <c r="CD317" s="67"/>
      <c r="CE317" s="67"/>
      <c r="CF317" s="67"/>
      <c r="CG317" s="67"/>
      <c r="CH317" s="67"/>
      <c r="CI317" s="67"/>
      <c r="CJ317" s="67"/>
      <c r="CK317" s="67"/>
      <c r="CL317" s="67"/>
      <c r="CM317" s="67"/>
      <c r="CN317" s="67"/>
      <c r="CO317" s="67"/>
      <c r="CP317" s="67"/>
      <c r="CQ317" s="67"/>
      <c r="CR317" s="67"/>
      <c r="CS317" s="67"/>
      <c r="CT317" s="67"/>
      <c r="CU317" s="67"/>
      <c r="CV317" s="67"/>
      <c r="CW317" s="67"/>
      <c r="CX317" s="67"/>
      <c r="CY317" s="67"/>
      <c r="CZ317" s="67"/>
      <c r="DA317" s="67"/>
      <c r="DB317" s="67"/>
      <c r="DC317" s="67"/>
      <c r="DD317" s="67"/>
      <c r="DE317" s="67"/>
      <c r="DF317" s="67"/>
      <c r="DG317" s="67"/>
      <c r="DH317" s="67"/>
      <c r="DI317" s="67"/>
      <c r="DJ317" s="67"/>
      <c r="DK317" s="67"/>
      <c r="DL317" s="67"/>
      <c r="DM317" s="67"/>
      <c r="DN317" s="67"/>
      <c r="DO317" s="67"/>
      <c r="DP317" s="67"/>
      <c r="DQ317" s="67"/>
      <c r="DR317" s="67"/>
      <c r="DS317" s="67"/>
      <c r="DT317" s="67"/>
      <c r="DU317" s="67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  <c r="ER317" s="6"/>
      <c r="ES317" s="6"/>
      <c r="ET317" s="6"/>
      <c r="EU317" s="6"/>
      <c r="EV317" s="6"/>
      <c r="EW317" s="6"/>
      <c r="EX317" s="6"/>
      <c r="EY317" s="6"/>
      <c r="EZ317" s="6"/>
      <c r="FA317" s="6"/>
      <c r="FB317" s="6"/>
      <c r="FC317" s="6"/>
      <c r="FD317" s="6"/>
      <c r="FE317" s="6"/>
      <c r="FF317" s="6"/>
      <c r="FG317" s="6"/>
      <c r="FH317" s="6"/>
      <c r="FI317" s="6"/>
      <c r="FJ317" s="6"/>
      <c r="FK317" s="6"/>
      <c r="FL317" s="6"/>
      <c r="FM317" s="6"/>
      <c r="FN317" s="6"/>
      <c r="FO317" s="6"/>
      <c r="FP317" s="6"/>
      <c r="FQ317" s="6"/>
      <c r="FR317" s="6"/>
      <c r="FS317" s="6"/>
      <c r="FT317" s="6"/>
      <c r="FU317" s="6"/>
      <c r="FV317" s="6"/>
      <c r="FW317" s="6"/>
      <c r="FX317" s="6"/>
      <c r="FY317" s="6"/>
      <c r="FZ317" s="6"/>
      <c r="GA317" s="6"/>
      <c r="GB317" s="6"/>
      <c r="GC317" s="6"/>
      <c r="GD317" s="6"/>
      <c r="GE317" s="6"/>
      <c r="GF317" s="6"/>
      <c r="GG317" s="6"/>
      <c r="GH317" s="6"/>
      <c r="GI317" s="6"/>
      <c r="GJ317" s="6"/>
      <c r="GK317" s="6"/>
      <c r="GL317" s="6"/>
    </row>
    <row r="318" spans="1:194" x14ac:dyDescent="0.25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  <c r="AA318" s="67"/>
      <c r="AB318" s="67"/>
      <c r="AC318" s="67"/>
      <c r="AD318" s="67"/>
      <c r="AE318" s="67"/>
      <c r="AF318" s="67"/>
      <c r="AG318" s="67"/>
      <c r="AH318" s="67"/>
      <c r="AI318" s="67"/>
      <c r="AJ318" s="67"/>
      <c r="AK318" s="67"/>
      <c r="AL318" s="67"/>
      <c r="AM318" s="67"/>
      <c r="AN318" s="67"/>
      <c r="AO318" s="67"/>
      <c r="AP318" s="67"/>
      <c r="AQ318" s="67"/>
      <c r="AR318" s="67"/>
      <c r="AS318" s="67"/>
      <c r="AT318" s="67"/>
      <c r="AU318" s="67"/>
      <c r="AV318" s="67"/>
      <c r="AW318" s="67"/>
      <c r="AX318" s="67"/>
      <c r="AY318" s="67"/>
      <c r="AZ318" s="67"/>
      <c r="BA318" s="67"/>
      <c r="BB318" s="67"/>
      <c r="BC318" s="67"/>
      <c r="BD318" s="67"/>
      <c r="BE318" s="67"/>
      <c r="BF318" s="67"/>
      <c r="BG318" s="67"/>
      <c r="BH318" s="67"/>
      <c r="BI318" s="67"/>
      <c r="BJ318" s="67"/>
      <c r="BK318" s="67"/>
      <c r="BL318" s="67"/>
      <c r="BM318" s="67"/>
      <c r="BN318" s="67"/>
      <c r="BO318" s="67"/>
      <c r="BP318" s="67"/>
      <c r="BQ318" s="67"/>
      <c r="BR318" s="67"/>
      <c r="BS318" s="67"/>
      <c r="BT318" s="67"/>
      <c r="BU318" s="67"/>
      <c r="BV318" s="67"/>
      <c r="BW318" s="67"/>
      <c r="BX318" s="67"/>
      <c r="BY318" s="67"/>
      <c r="BZ318" s="67"/>
      <c r="CA318" s="67"/>
      <c r="CB318" s="67"/>
      <c r="CC318" s="67"/>
      <c r="CD318" s="67"/>
      <c r="CE318" s="67"/>
      <c r="CF318" s="67"/>
      <c r="CG318" s="67"/>
      <c r="CH318" s="67"/>
      <c r="CI318" s="67"/>
      <c r="CJ318" s="67"/>
      <c r="CK318" s="67"/>
      <c r="CL318" s="67"/>
      <c r="CM318" s="67"/>
      <c r="CN318" s="67"/>
      <c r="CO318" s="67"/>
      <c r="CP318" s="67"/>
      <c r="CQ318" s="67"/>
      <c r="CR318" s="67"/>
      <c r="CS318" s="67"/>
      <c r="CT318" s="67"/>
      <c r="CU318" s="67"/>
      <c r="CV318" s="67"/>
      <c r="CW318" s="67"/>
      <c r="CX318" s="67"/>
      <c r="CY318" s="67"/>
      <c r="CZ318" s="67"/>
      <c r="DA318" s="67"/>
      <c r="DB318" s="67"/>
      <c r="DC318" s="67"/>
      <c r="DD318" s="67"/>
      <c r="DE318" s="67"/>
      <c r="DF318" s="67"/>
      <c r="DG318" s="67"/>
      <c r="DH318" s="67"/>
      <c r="DI318" s="67"/>
      <c r="DJ318" s="67"/>
      <c r="DK318" s="67"/>
      <c r="DL318" s="67"/>
      <c r="DM318" s="67"/>
      <c r="DN318" s="67"/>
      <c r="DO318" s="67"/>
      <c r="DP318" s="67"/>
      <c r="DQ318" s="67"/>
      <c r="DR318" s="67"/>
      <c r="DS318" s="67"/>
      <c r="DT318" s="67"/>
      <c r="DU318" s="67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  <c r="ER318" s="6"/>
      <c r="ES318" s="6"/>
      <c r="ET318" s="6"/>
      <c r="EU318" s="6"/>
      <c r="EV318" s="6"/>
      <c r="EW318" s="6"/>
      <c r="EX318" s="6"/>
      <c r="EY318" s="6"/>
      <c r="EZ318" s="6"/>
      <c r="FA318" s="6"/>
      <c r="FB318" s="6"/>
      <c r="FC318" s="6"/>
      <c r="FD318" s="6"/>
      <c r="FE318" s="6"/>
      <c r="FF318" s="6"/>
      <c r="FG318" s="6"/>
      <c r="FH318" s="6"/>
      <c r="FI318" s="6"/>
      <c r="FJ318" s="6"/>
      <c r="FK318" s="6"/>
      <c r="FL318" s="6"/>
      <c r="FM318" s="6"/>
      <c r="FN318" s="6"/>
      <c r="FO318" s="6"/>
      <c r="FP318" s="6"/>
      <c r="FQ318" s="6"/>
      <c r="FR318" s="6"/>
      <c r="FS318" s="6"/>
      <c r="FT318" s="6"/>
      <c r="FU318" s="6"/>
      <c r="FV318" s="6"/>
      <c r="FW318" s="6"/>
      <c r="FX318" s="6"/>
      <c r="FY318" s="6"/>
      <c r="FZ318" s="6"/>
      <c r="GA318" s="6"/>
      <c r="GB318" s="6"/>
      <c r="GC318" s="6"/>
      <c r="GD318" s="6"/>
      <c r="GE318" s="6"/>
      <c r="GF318" s="6"/>
      <c r="GG318" s="6"/>
      <c r="GH318" s="6"/>
      <c r="GI318" s="6"/>
      <c r="GJ318" s="6"/>
      <c r="GK318" s="6"/>
      <c r="GL318" s="6"/>
    </row>
    <row r="319" spans="1:194" x14ac:dyDescent="0.25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  <c r="AA319" s="67"/>
      <c r="AB319" s="67"/>
      <c r="AC319" s="67"/>
      <c r="AD319" s="67"/>
      <c r="AE319" s="67"/>
      <c r="AF319" s="67"/>
      <c r="AG319" s="67"/>
      <c r="AH319" s="67"/>
      <c r="AI319" s="67"/>
      <c r="AJ319" s="67"/>
      <c r="AK319" s="67"/>
      <c r="AL319" s="67"/>
      <c r="AM319" s="67"/>
      <c r="AN319" s="67"/>
      <c r="AO319" s="67"/>
      <c r="AP319" s="67"/>
      <c r="AQ319" s="67"/>
      <c r="AR319" s="67"/>
      <c r="AS319" s="67"/>
      <c r="AT319" s="67"/>
      <c r="AU319" s="67"/>
      <c r="AV319" s="67"/>
      <c r="AW319" s="67"/>
      <c r="AX319" s="67"/>
      <c r="AY319" s="67"/>
      <c r="AZ319" s="67"/>
      <c r="BA319" s="67"/>
      <c r="BB319" s="67"/>
      <c r="BC319" s="67"/>
      <c r="BD319" s="67"/>
      <c r="BE319" s="67"/>
      <c r="BF319" s="67"/>
      <c r="BG319" s="67"/>
      <c r="BH319" s="67"/>
      <c r="BI319" s="67"/>
      <c r="BJ319" s="67"/>
      <c r="BK319" s="67"/>
      <c r="BL319" s="67"/>
      <c r="BM319" s="67"/>
      <c r="BN319" s="67"/>
      <c r="BO319" s="67"/>
      <c r="BP319" s="67"/>
      <c r="BQ319" s="67"/>
      <c r="BR319" s="67"/>
      <c r="BS319" s="67"/>
      <c r="BT319" s="67"/>
      <c r="BU319" s="67"/>
      <c r="BV319" s="67"/>
      <c r="BW319" s="67"/>
      <c r="BX319" s="67"/>
      <c r="BY319" s="67"/>
      <c r="BZ319" s="67"/>
      <c r="CA319" s="67"/>
      <c r="CB319" s="67"/>
      <c r="CC319" s="67"/>
      <c r="CD319" s="67"/>
      <c r="CE319" s="67"/>
      <c r="CF319" s="67"/>
      <c r="CG319" s="67"/>
      <c r="CH319" s="67"/>
      <c r="CI319" s="67"/>
      <c r="CJ319" s="67"/>
      <c r="CK319" s="67"/>
      <c r="CL319" s="67"/>
      <c r="CM319" s="67"/>
      <c r="CN319" s="67"/>
      <c r="CO319" s="67"/>
      <c r="CP319" s="67"/>
      <c r="CQ319" s="67"/>
      <c r="CR319" s="67"/>
      <c r="CS319" s="67"/>
      <c r="CT319" s="67"/>
      <c r="CU319" s="67"/>
      <c r="CV319" s="67"/>
      <c r="CW319" s="67"/>
      <c r="CX319" s="67"/>
      <c r="CY319" s="67"/>
      <c r="CZ319" s="67"/>
      <c r="DA319" s="67"/>
      <c r="DB319" s="67"/>
      <c r="DC319" s="67"/>
      <c r="DD319" s="67"/>
      <c r="DE319" s="67"/>
      <c r="DF319" s="67"/>
      <c r="DG319" s="67"/>
      <c r="DH319" s="67"/>
      <c r="DI319" s="67"/>
      <c r="DJ319" s="67"/>
      <c r="DK319" s="67"/>
      <c r="DL319" s="67"/>
      <c r="DM319" s="67"/>
      <c r="DN319" s="67"/>
      <c r="DO319" s="67"/>
      <c r="DP319" s="67"/>
      <c r="DQ319" s="67"/>
      <c r="DR319" s="67"/>
      <c r="DS319" s="67"/>
      <c r="DT319" s="67"/>
      <c r="DU319" s="67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  <c r="ER319" s="6"/>
      <c r="ES319" s="6"/>
      <c r="ET319" s="6"/>
      <c r="EU319" s="6"/>
      <c r="EV319" s="6"/>
      <c r="EW319" s="6"/>
      <c r="EX319" s="6"/>
      <c r="EY319" s="6"/>
      <c r="EZ319" s="6"/>
      <c r="FA319" s="6"/>
      <c r="FB319" s="6"/>
      <c r="FC319" s="6"/>
      <c r="FD319" s="6"/>
      <c r="FE319" s="6"/>
      <c r="FF319" s="6"/>
      <c r="FG319" s="6"/>
      <c r="FH319" s="6"/>
      <c r="FI319" s="6"/>
      <c r="FJ319" s="6"/>
      <c r="FK319" s="6"/>
      <c r="FL319" s="6"/>
      <c r="FM319" s="6"/>
      <c r="FN319" s="6"/>
      <c r="FO319" s="6"/>
      <c r="FP319" s="6"/>
      <c r="FQ319" s="6"/>
      <c r="FR319" s="6"/>
      <c r="FS319" s="6"/>
      <c r="FT319" s="6"/>
      <c r="FU319" s="6"/>
      <c r="FV319" s="6"/>
      <c r="FW319" s="6"/>
      <c r="FX319" s="6"/>
      <c r="FY319" s="6"/>
      <c r="FZ319" s="6"/>
      <c r="GA319" s="6"/>
      <c r="GB319" s="6"/>
      <c r="GC319" s="6"/>
      <c r="GD319" s="6"/>
      <c r="GE319" s="6"/>
      <c r="GF319" s="6"/>
      <c r="GG319" s="6"/>
      <c r="GH319" s="6"/>
      <c r="GI319" s="6"/>
      <c r="GJ319" s="6"/>
      <c r="GK319" s="6"/>
      <c r="GL319" s="6"/>
    </row>
    <row r="320" spans="1:194" x14ac:dyDescent="0.25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  <c r="AA320" s="67"/>
      <c r="AB320" s="67"/>
      <c r="AC320" s="67"/>
      <c r="AD320" s="67"/>
      <c r="AE320" s="67"/>
      <c r="AF320" s="67"/>
      <c r="AG320" s="67"/>
      <c r="AH320" s="67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  <c r="BI320" s="67"/>
      <c r="BJ320" s="67"/>
      <c r="BK320" s="67"/>
      <c r="BL320" s="67"/>
      <c r="BM320" s="67"/>
      <c r="BN320" s="67"/>
      <c r="BO320" s="67"/>
      <c r="BP320" s="67"/>
      <c r="BQ320" s="67"/>
      <c r="BR320" s="67"/>
      <c r="BS320" s="67"/>
      <c r="BT320" s="67"/>
      <c r="BU320" s="67"/>
      <c r="BV320" s="67"/>
      <c r="BW320" s="67"/>
      <c r="BX320" s="67"/>
      <c r="BY320" s="67"/>
      <c r="BZ320" s="67"/>
      <c r="CA320" s="67"/>
      <c r="CB320" s="67"/>
      <c r="CC320" s="67"/>
      <c r="CD320" s="67"/>
      <c r="CE320" s="67"/>
      <c r="CF320" s="67"/>
      <c r="CG320" s="67"/>
      <c r="CH320" s="67"/>
      <c r="CI320" s="67"/>
      <c r="CJ320" s="67"/>
      <c r="CK320" s="67"/>
      <c r="CL320" s="67"/>
      <c r="CM320" s="67"/>
      <c r="CN320" s="67"/>
      <c r="CO320" s="67"/>
      <c r="CP320" s="67"/>
      <c r="CQ320" s="67"/>
      <c r="CR320" s="67"/>
      <c r="CS320" s="67"/>
      <c r="CT320" s="67"/>
      <c r="CU320" s="67"/>
      <c r="CV320" s="67"/>
      <c r="CW320" s="67"/>
      <c r="CX320" s="67"/>
      <c r="CY320" s="67"/>
      <c r="CZ320" s="67"/>
      <c r="DA320" s="67"/>
      <c r="DB320" s="67"/>
      <c r="DC320" s="67"/>
      <c r="DD320" s="67"/>
      <c r="DE320" s="67"/>
      <c r="DF320" s="67"/>
      <c r="DG320" s="67"/>
      <c r="DH320" s="67"/>
      <c r="DI320" s="67"/>
      <c r="DJ320" s="67"/>
      <c r="DK320" s="67"/>
      <c r="DL320" s="67"/>
      <c r="DM320" s="67"/>
      <c r="DN320" s="67"/>
      <c r="DO320" s="67"/>
      <c r="DP320" s="67"/>
      <c r="DQ320" s="67"/>
      <c r="DR320" s="67"/>
      <c r="DS320" s="67"/>
      <c r="DT320" s="67"/>
      <c r="DU320" s="67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  <c r="ER320" s="6"/>
      <c r="ES320" s="6"/>
      <c r="ET320" s="6"/>
      <c r="EU320" s="6"/>
      <c r="EV320" s="6"/>
      <c r="EW320" s="6"/>
      <c r="EX320" s="6"/>
      <c r="EY320" s="6"/>
      <c r="EZ320" s="6"/>
      <c r="FA320" s="6"/>
      <c r="FB320" s="6"/>
      <c r="FC320" s="6"/>
      <c r="FD320" s="6"/>
      <c r="FE320" s="6"/>
      <c r="FF320" s="6"/>
      <c r="FG320" s="6"/>
      <c r="FH320" s="6"/>
      <c r="FI320" s="6"/>
      <c r="FJ320" s="6"/>
      <c r="FK320" s="6"/>
      <c r="FL320" s="6"/>
      <c r="FM320" s="6"/>
      <c r="FN320" s="6"/>
      <c r="FO320" s="6"/>
      <c r="FP320" s="6"/>
      <c r="FQ320" s="6"/>
      <c r="FR320" s="6"/>
      <c r="FS320" s="6"/>
      <c r="FT320" s="6"/>
      <c r="FU320" s="6"/>
      <c r="FV320" s="6"/>
      <c r="FW320" s="6"/>
      <c r="FX320" s="6"/>
      <c r="FY320" s="6"/>
      <c r="FZ320" s="6"/>
      <c r="GA320" s="6"/>
      <c r="GB320" s="6"/>
      <c r="GC320" s="6"/>
      <c r="GD320" s="6"/>
      <c r="GE320" s="6"/>
      <c r="GF320" s="6"/>
      <c r="GG320" s="6"/>
      <c r="GH320" s="6"/>
      <c r="GI320" s="6"/>
      <c r="GJ320" s="6"/>
      <c r="GK320" s="6"/>
      <c r="GL320" s="6"/>
    </row>
    <row r="321" spans="1:194" x14ac:dyDescent="0.25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  <c r="AA321" s="67"/>
      <c r="AB321" s="67"/>
      <c r="AC321" s="67"/>
      <c r="AD321" s="67"/>
      <c r="AE321" s="67"/>
      <c r="AF321" s="67"/>
      <c r="AG321" s="67"/>
      <c r="AH321" s="67"/>
      <c r="AI321" s="67"/>
      <c r="AJ321" s="67"/>
      <c r="AK321" s="67"/>
      <c r="AL321" s="67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  <c r="AX321" s="67"/>
      <c r="AY321" s="67"/>
      <c r="AZ321" s="67"/>
      <c r="BA321" s="67"/>
      <c r="BB321" s="67"/>
      <c r="BC321" s="67"/>
      <c r="BD321" s="67"/>
      <c r="BE321" s="67"/>
      <c r="BF321" s="67"/>
      <c r="BG321" s="67"/>
      <c r="BH321" s="67"/>
      <c r="BI321" s="67"/>
      <c r="BJ321" s="67"/>
      <c r="BK321" s="67"/>
      <c r="BL321" s="67"/>
      <c r="BM321" s="67"/>
      <c r="BN321" s="67"/>
      <c r="BO321" s="67"/>
      <c r="BP321" s="67"/>
      <c r="BQ321" s="67"/>
      <c r="BR321" s="67"/>
      <c r="BS321" s="67"/>
      <c r="BT321" s="67"/>
      <c r="BU321" s="67"/>
      <c r="BV321" s="67"/>
      <c r="BW321" s="67"/>
      <c r="BX321" s="67"/>
      <c r="BY321" s="67"/>
      <c r="BZ321" s="67"/>
      <c r="CA321" s="67"/>
      <c r="CB321" s="67"/>
      <c r="CC321" s="67"/>
      <c r="CD321" s="67"/>
      <c r="CE321" s="67"/>
      <c r="CF321" s="67"/>
      <c r="CG321" s="67"/>
      <c r="CH321" s="67"/>
      <c r="CI321" s="67"/>
      <c r="CJ321" s="67"/>
      <c r="CK321" s="67"/>
      <c r="CL321" s="67"/>
      <c r="CM321" s="67"/>
      <c r="CN321" s="67"/>
      <c r="CO321" s="67"/>
      <c r="CP321" s="67"/>
      <c r="CQ321" s="67"/>
      <c r="CR321" s="67"/>
      <c r="CS321" s="67"/>
      <c r="CT321" s="67"/>
      <c r="CU321" s="67"/>
      <c r="CV321" s="67"/>
      <c r="CW321" s="67"/>
      <c r="CX321" s="67"/>
      <c r="CY321" s="67"/>
      <c r="CZ321" s="67"/>
      <c r="DA321" s="67"/>
      <c r="DB321" s="67"/>
      <c r="DC321" s="67"/>
      <c r="DD321" s="67"/>
      <c r="DE321" s="67"/>
      <c r="DF321" s="67"/>
      <c r="DG321" s="67"/>
      <c r="DH321" s="67"/>
      <c r="DI321" s="67"/>
      <c r="DJ321" s="67"/>
      <c r="DK321" s="67"/>
      <c r="DL321" s="67"/>
      <c r="DM321" s="67"/>
      <c r="DN321" s="67"/>
      <c r="DO321" s="67"/>
      <c r="DP321" s="67"/>
      <c r="DQ321" s="67"/>
      <c r="DR321" s="67"/>
      <c r="DS321" s="67"/>
      <c r="DT321" s="67"/>
      <c r="DU321" s="67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  <c r="ER321" s="6"/>
      <c r="ES321" s="6"/>
      <c r="ET321" s="6"/>
      <c r="EU321" s="6"/>
      <c r="EV321" s="6"/>
      <c r="EW321" s="6"/>
      <c r="EX321" s="6"/>
      <c r="EY321" s="6"/>
      <c r="EZ321" s="6"/>
      <c r="FA321" s="6"/>
      <c r="FB321" s="6"/>
      <c r="FC321" s="6"/>
      <c r="FD321" s="6"/>
      <c r="FE321" s="6"/>
      <c r="FF321" s="6"/>
      <c r="FG321" s="6"/>
      <c r="FH321" s="6"/>
      <c r="FI321" s="6"/>
      <c r="FJ321" s="6"/>
      <c r="FK321" s="6"/>
      <c r="FL321" s="6"/>
      <c r="FM321" s="6"/>
      <c r="FN321" s="6"/>
      <c r="FO321" s="6"/>
      <c r="FP321" s="6"/>
      <c r="FQ321" s="6"/>
      <c r="FR321" s="6"/>
      <c r="FS321" s="6"/>
      <c r="FT321" s="6"/>
      <c r="FU321" s="6"/>
      <c r="FV321" s="6"/>
      <c r="FW321" s="6"/>
      <c r="FX321" s="6"/>
      <c r="FY321" s="6"/>
      <c r="FZ321" s="6"/>
      <c r="GA321" s="6"/>
      <c r="GB321" s="6"/>
      <c r="GC321" s="6"/>
      <c r="GD321" s="6"/>
      <c r="GE321" s="6"/>
      <c r="GF321" s="6"/>
      <c r="GG321" s="6"/>
      <c r="GH321" s="6"/>
      <c r="GI321" s="6"/>
      <c r="GJ321" s="6"/>
      <c r="GK321" s="6"/>
      <c r="GL321" s="6"/>
    </row>
    <row r="322" spans="1:194" x14ac:dyDescent="0.25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  <c r="AA322" s="67"/>
      <c r="AB322" s="67"/>
      <c r="AC322" s="67"/>
      <c r="AD322" s="67"/>
      <c r="AE322" s="67"/>
      <c r="AF322" s="67"/>
      <c r="AG322" s="67"/>
      <c r="AH322" s="67"/>
      <c r="AI322" s="67"/>
      <c r="AJ322" s="67"/>
      <c r="AK322" s="67"/>
      <c r="AL322" s="67"/>
      <c r="AM322" s="67"/>
      <c r="AN322" s="67"/>
      <c r="AO322" s="67"/>
      <c r="AP322" s="67"/>
      <c r="AQ322" s="67"/>
      <c r="AR322" s="67"/>
      <c r="AS322" s="67"/>
      <c r="AT322" s="67"/>
      <c r="AU322" s="67"/>
      <c r="AV322" s="67"/>
      <c r="AW322" s="67"/>
      <c r="AX322" s="67"/>
      <c r="AY322" s="67"/>
      <c r="AZ322" s="67"/>
      <c r="BA322" s="67"/>
      <c r="BB322" s="67"/>
      <c r="BC322" s="67"/>
      <c r="BD322" s="67"/>
      <c r="BE322" s="67"/>
      <c r="BF322" s="67"/>
      <c r="BG322" s="67"/>
      <c r="BH322" s="67"/>
      <c r="BI322" s="67"/>
      <c r="BJ322" s="67"/>
      <c r="BK322" s="67"/>
      <c r="BL322" s="67"/>
      <c r="BM322" s="67"/>
      <c r="BN322" s="67"/>
      <c r="BO322" s="67"/>
      <c r="BP322" s="67"/>
      <c r="BQ322" s="67"/>
      <c r="BR322" s="67"/>
      <c r="BS322" s="67"/>
      <c r="BT322" s="67"/>
      <c r="BU322" s="67"/>
      <c r="BV322" s="67"/>
      <c r="BW322" s="67"/>
      <c r="BX322" s="67"/>
      <c r="BY322" s="67"/>
      <c r="BZ322" s="67"/>
      <c r="CA322" s="67"/>
      <c r="CB322" s="67"/>
      <c r="CC322" s="67"/>
      <c r="CD322" s="67"/>
      <c r="CE322" s="67"/>
      <c r="CF322" s="67"/>
      <c r="CG322" s="67"/>
      <c r="CH322" s="67"/>
      <c r="CI322" s="67"/>
      <c r="CJ322" s="67"/>
      <c r="CK322" s="67"/>
      <c r="CL322" s="67"/>
      <c r="CM322" s="67"/>
      <c r="CN322" s="67"/>
      <c r="CO322" s="67"/>
      <c r="CP322" s="67"/>
      <c r="CQ322" s="67"/>
      <c r="CR322" s="67"/>
      <c r="CS322" s="67"/>
      <c r="CT322" s="67"/>
      <c r="CU322" s="67"/>
      <c r="CV322" s="67"/>
      <c r="CW322" s="67"/>
      <c r="CX322" s="67"/>
      <c r="CY322" s="67"/>
      <c r="CZ322" s="67"/>
      <c r="DA322" s="67"/>
      <c r="DB322" s="67"/>
      <c r="DC322" s="67"/>
      <c r="DD322" s="67"/>
      <c r="DE322" s="67"/>
      <c r="DF322" s="67"/>
      <c r="DG322" s="67"/>
      <c r="DH322" s="67"/>
      <c r="DI322" s="67"/>
      <c r="DJ322" s="67"/>
      <c r="DK322" s="67"/>
      <c r="DL322" s="67"/>
      <c r="DM322" s="67"/>
      <c r="DN322" s="67"/>
      <c r="DO322" s="67"/>
      <c r="DP322" s="67"/>
      <c r="DQ322" s="67"/>
      <c r="DR322" s="67"/>
      <c r="DS322" s="67"/>
      <c r="DT322" s="67"/>
      <c r="DU322" s="67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  <c r="ER322" s="6"/>
      <c r="ES322" s="6"/>
      <c r="ET322" s="6"/>
      <c r="EU322" s="6"/>
      <c r="EV322" s="6"/>
      <c r="EW322" s="6"/>
      <c r="EX322" s="6"/>
      <c r="EY322" s="6"/>
      <c r="EZ322" s="6"/>
      <c r="FA322" s="6"/>
      <c r="FB322" s="6"/>
      <c r="FC322" s="6"/>
      <c r="FD322" s="6"/>
      <c r="FE322" s="6"/>
      <c r="FF322" s="6"/>
      <c r="FG322" s="6"/>
      <c r="FH322" s="6"/>
      <c r="FI322" s="6"/>
      <c r="FJ322" s="6"/>
      <c r="FK322" s="6"/>
      <c r="FL322" s="6"/>
      <c r="FM322" s="6"/>
      <c r="FN322" s="6"/>
      <c r="FO322" s="6"/>
      <c r="FP322" s="6"/>
      <c r="FQ322" s="6"/>
      <c r="FR322" s="6"/>
      <c r="FS322" s="6"/>
      <c r="FT322" s="6"/>
      <c r="FU322" s="6"/>
      <c r="FV322" s="6"/>
      <c r="FW322" s="6"/>
      <c r="FX322" s="6"/>
      <c r="FY322" s="6"/>
      <c r="FZ322" s="6"/>
      <c r="GA322" s="6"/>
      <c r="GB322" s="6"/>
      <c r="GC322" s="6"/>
      <c r="GD322" s="6"/>
      <c r="GE322" s="6"/>
      <c r="GF322" s="6"/>
      <c r="GG322" s="6"/>
      <c r="GH322" s="6"/>
      <c r="GI322" s="6"/>
      <c r="GJ322" s="6"/>
      <c r="GK322" s="6"/>
      <c r="GL322" s="6"/>
    </row>
    <row r="323" spans="1:194" x14ac:dyDescent="0.25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  <c r="AA323" s="67"/>
      <c r="AB323" s="67"/>
      <c r="AC323" s="67"/>
      <c r="AD323" s="67"/>
      <c r="AE323" s="67"/>
      <c r="AF323" s="67"/>
      <c r="AG323" s="67"/>
      <c r="AH323" s="67"/>
      <c r="AI323" s="67"/>
      <c r="AJ323" s="67"/>
      <c r="AK323" s="67"/>
      <c r="AL323" s="67"/>
      <c r="AM323" s="67"/>
      <c r="AN323" s="67"/>
      <c r="AO323" s="67"/>
      <c r="AP323" s="67"/>
      <c r="AQ323" s="67"/>
      <c r="AR323" s="67"/>
      <c r="AS323" s="67"/>
      <c r="AT323" s="67"/>
      <c r="AU323" s="67"/>
      <c r="AV323" s="67"/>
      <c r="AW323" s="67"/>
      <c r="AX323" s="67"/>
      <c r="AY323" s="67"/>
      <c r="AZ323" s="67"/>
      <c r="BA323" s="67"/>
      <c r="BB323" s="67"/>
      <c r="BC323" s="67"/>
      <c r="BD323" s="67"/>
      <c r="BE323" s="67"/>
      <c r="BF323" s="67"/>
      <c r="BG323" s="67"/>
      <c r="BH323" s="67"/>
      <c r="BI323" s="67"/>
      <c r="BJ323" s="67"/>
      <c r="BK323" s="67"/>
      <c r="BL323" s="67"/>
      <c r="BM323" s="67"/>
      <c r="BN323" s="67"/>
      <c r="BO323" s="67"/>
      <c r="BP323" s="67"/>
      <c r="BQ323" s="67"/>
      <c r="BR323" s="67"/>
      <c r="BS323" s="67"/>
      <c r="BT323" s="67"/>
      <c r="BU323" s="67"/>
      <c r="BV323" s="67"/>
      <c r="BW323" s="67"/>
      <c r="BX323" s="67"/>
      <c r="BY323" s="67"/>
      <c r="BZ323" s="67"/>
      <c r="CA323" s="67"/>
      <c r="CB323" s="67"/>
      <c r="CC323" s="67"/>
      <c r="CD323" s="67"/>
      <c r="CE323" s="67"/>
      <c r="CF323" s="67"/>
      <c r="CG323" s="67"/>
      <c r="CH323" s="67"/>
      <c r="CI323" s="67"/>
      <c r="CJ323" s="67"/>
      <c r="CK323" s="67"/>
      <c r="CL323" s="67"/>
      <c r="CM323" s="67"/>
      <c r="CN323" s="67"/>
      <c r="CO323" s="67"/>
      <c r="CP323" s="67"/>
      <c r="CQ323" s="67"/>
      <c r="CR323" s="67"/>
      <c r="CS323" s="67"/>
      <c r="CT323" s="67"/>
      <c r="CU323" s="67"/>
      <c r="CV323" s="67"/>
      <c r="CW323" s="67"/>
      <c r="CX323" s="67"/>
      <c r="CY323" s="67"/>
      <c r="CZ323" s="67"/>
      <c r="DA323" s="67"/>
      <c r="DB323" s="67"/>
      <c r="DC323" s="67"/>
      <c r="DD323" s="67"/>
      <c r="DE323" s="67"/>
      <c r="DF323" s="67"/>
      <c r="DG323" s="67"/>
      <c r="DH323" s="67"/>
      <c r="DI323" s="67"/>
      <c r="DJ323" s="67"/>
      <c r="DK323" s="67"/>
      <c r="DL323" s="67"/>
      <c r="DM323" s="67"/>
      <c r="DN323" s="67"/>
      <c r="DO323" s="67"/>
      <c r="DP323" s="67"/>
      <c r="DQ323" s="67"/>
      <c r="DR323" s="67"/>
      <c r="DS323" s="67"/>
      <c r="DT323" s="67"/>
      <c r="DU323" s="67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  <c r="ER323" s="6"/>
      <c r="ES323" s="6"/>
      <c r="ET323" s="6"/>
      <c r="EU323" s="6"/>
      <c r="EV323" s="6"/>
      <c r="EW323" s="6"/>
      <c r="EX323" s="6"/>
      <c r="EY323" s="6"/>
      <c r="EZ323" s="6"/>
      <c r="FA323" s="6"/>
      <c r="FB323" s="6"/>
      <c r="FC323" s="6"/>
      <c r="FD323" s="6"/>
      <c r="FE323" s="6"/>
      <c r="FF323" s="6"/>
      <c r="FG323" s="6"/>
      <c r="FH323" s="6"/>
      <c r="FI323" s="6"/>
      <c r="FJ323" s="6"/>
      <c r="FK323" s="6"/>
      <c r="FL323" s="6"/>
      <c r="FM323" s="6"/>
      <c r="FN323" s="6"/>
      <c r="FO323" s="6"/>
      <c r="FP323" s="6"/>
      <c r="FQ323" s="6"/>
      <c r="FR323" s="6"/>
      <c r="FS323" s="6"/>
      <c r="FT323" s="6"/>
      <c r="FU323" s="6"/>
      <c r="FV323" s="6"/>
      <c r="FW323" s="6"/>
      <c r="FX323" s="6"/>
      <c r="FY323" s="6"/>
      <c r="FZ323" s="6"/>
      <c r="GA323" s="6"/>
      <c r="GB323" s="6"/>
      <c r="GC323" s="6"/>
      <c r="GD323" s="6"/>
      <c r="GE323" s="6"/>
      <c r="GF323" s="6"/>
      <c r="GG323" s="6"/>
      <c r="GH323" s="6"/>
      <c r="GI323" s="6"/>
      <c r="GJ323" s="6"/>
      <c r="GK323" s="6"/>
      <c r="GL323" s="6"/>
    </row>
    <row r="324" spans="1:194" x14ac:dyDescent="0.25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  <c r="AA324" s="67"/>
      <c r="AB324" s="67"/>
      <c r="AC324" s="67"/>
      <c r="AD324" s="67"/>
      <c r="AE324" s="67"/>
      <c r="AF324" s="67"/>
      <c r="AG324" s="67"/>
      <c r="AH324" s="67"/>
      <c r="AI324" s="67"/>
      <c r="AJ324" s="67"/>
      <c r="AK324" s="67"/>
      <c r="AL324" s="67"/>
      <c r="AM324" s="67"/>
      <c r="AN324" s="67"/>
      <c r="AO324" s="67"/>
      <c r="AP324" s="67"/>
      <c r="AQ324" s="67"/>
      <c r="AR324" s="67"/>
      <c r="AS324" s="67"/>
      <c r="AT324" s="67"/>
      <c r="AU324" s="67"/>
      <c r="AV324" s="67"/>
      <c r="AW324" s="67"/>
      <c r="AX324" s="67"/>
      <c r="AY324" s="67"/>
      <c r="AZ324" s="67"/>
      <c r="BA324" s="67"/>
      <c r="BB324" s="67"/>
      <c r="BC324" s="67"/>
      <c r="BD324" s="67"/>
      <c r="BE324" s="67"/>
      <c r="BF324" s="67"/>
      <c r="BG324" s="67"/>
      <c r="BH324" s="67"/>
      <c r="BI324" s="67"/>
      <c r="BJ324" s="67"/>
      <c r="BK324" s="67"/>
      <c r="BL324" s="67"/>
      <c r="BM324" s="67"/>
      <c r="BN324" s="67"/>
      <c r="BO324" s="67"/>
      <c r="BP324" s="67"/>
      <c r="BQ324" s="67"/>
      <c r="BR324" s="67"/>
      <c r="BS324" s="67"/>
      <c r="BT324" s="67"/>
      <c r="BU324" s="67"/>
      <c r="BV324" s="67"/>
      <c r="BW324" s="67"/>
      <c r="BX324" s="67"/>
      <c r="BY324" s="67"/>
      <c r="BZ324" s="67"/>
      <c r="CA324" s="67"/>
      <c r="CB324" s="67"/>
      <c r="CC324" s="67"/>
      <c r="CD324" s="67"/>
      <c r="CE324" s="67"/>
      <c r="CF324" s="67"/>
      <c r="CG324" s="67"/>
      <c r="CH324" s="67"/>
      <c r="CI324" s="67"/>
      <c r="CJ324" s="67"/>
      <c r="CK324" s="67"/>
      <c r="CL324" s="67"/>
      <c r="CM324" s="67"/>
      <c r="CN324" s="67"/>
      <c r="CO324" s="67"/>
      <c r="CP324" s="67"/>
      <c r="CQ324" s="67"/>
      <c r="CR324" s="67"/>
      <c r="CS324" s="67"/>
      <c r="CT324" s="67"/>
      <c r="CU324" s="67"/>
      <c r="CV324" s="67"/>
      <c r="CW324" s="67"/>
      <c r="CX324" s="67"/>
      <c r="CY324" s="67"/>
      <c r="CZ324" s="67"/>
      <c r="DA324" s="67"/>
      <c r="DB324" s="67"/>
      <c r="DC324" s="67"/>
      <c r="DD324" s="67"/>
      <c r="DE324" s="67"/>
      <c r="DF324" s="67"/>
      <c r="DG324" s="67"/>
      <c r="DH324" s="67"/>
      <c r="DI324" s="67"/>
      <c r="DJ324" s="67"/>
      <c r="DK324" s="67"/>
      <c r="DL324" s="67"/>
      <c r="DM324" s="67"/>
      <c r="DN324" s="67"/>
      <c r="DO324" s="67"/>
      <c r="DP324" s="67"/>
      <c r="DQ324" s="67"/>
      <c r="DR324" s="67"/>
      <c r="DS324" s="67"/>
      <c r="DT324" s="67"/>
      <c r="DU324" s="67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  <c r="ER324" s="6"/>
      <c r="ES324" s="6"/>
      <c r="ET324" s="6"/>
      <c r="EU324" s="6"/>
      <c r="EV324" s="6"/>
      <c r="EW324" s="6"/>
      <c r="EX324" s="6"/>
      <c r="EY324" s="6"/>
      <c r="EZ324" s="6"/>
      <c r="FA324" s="6"/>
      <c r="FB324" s="6"/>
      <c r="FC324" s="6"/>
      <c r="FD324" s="6"/>
      <c r="FE324" s="6"/>
      <c r="FF324" s="6"/>
      <c r="FG324" s="6"/>
      <c r="FH324" s="6"/>
      <c r="FI324" s="6"/>
      <c r="FJ324" s="6"/>
      <c r="FK324" s="6"/>
      <c r="FL324" s="6"/>
      <c r="FM324" s="6"/>
      <c r="FN324" s="6"/>
      <c r="FO324" s="6"/>
      <c r="FP324" s="6"/>
      <c r="FQ324" s="6"/>
      <c r="FR324" s="6"/>
      <c r="FS324" s="6"/>
      <c r="FT324" s="6"/>
      <c r="FU324" s="6"/>
      <c r="FV324" s="6"/>
      <c r="FW324" s="6"/>
      <c r="FX324" s="6"/>
      <c r="FY324" s="6"/>
      <c r="FZ324" s="6"/>
      <c r="GA324" s="6"/>
      <c r="GB324" s="6"/>
      <c r="GC324" s="6"/>
      <c r="GD324" s="6"/>
      <c r="GE324" s="6"/>
      <c r="GF324" s="6"/>
      <c r="GG324" s="6"/>
      <c r="GH324" s="6"/>
      <c r="GI324" s="6"/>
      <c r="GJ324" s="6"/>
      <c r="GK324" s="6"/>
      <c r="GL324" s="6"/>
    </row>
    <row r="325" spans="1:194" x14ac:dyDescent="0.25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  <c r="AA325" s="67"/>
      <c r="AB325" s="67"/>
      <c r="AC325" s="67"/>
      <c r="AD325" s="67"/>
      <c r="AE325" s="67"/>
      <c r="AF325" s="67"/>
      <c r="AG325" s="67"/>
      <c r="AH325" s="67"/>
      <c r="AI325" s="67"/>
      <c r="AJ325" s="67"/>
      <c r="AK325" s="67"/>
      <c r="AL325" s="67"/>
      <c r="AM325" s="67"/>
      <c r="AN325" s="67"/>
      <c r="AO325" s="67"/>
      <c r="AP325" s="67"/>
      <c r="AQ325" s="67"/>
      <c r="AR325" s="67"/>
      <c r="AS325" s="67"/>
      <c r="AT325" s="67"/>
      <c r="AU325" s="67"/>
      <c r="AV325" s="67"/>
      <c r="AW325" s="67"/>
      <c r="AX325" s="67"/>
      <c r="AY325" s="67"/>
      <c r="AZ325" s="67"/>
      <c r="BA325" s="67"/>
      <c r="BB325" s="67"/>
      <c r="BC325" s="67"/>
      <c r="BD325" s="67"/>
      <c r="BE325" s="67"/>
      <c r="BF325" s="67"/>
      <c r="BG325" s="67"/>
      <c r="BH325" s="67"/>
      <c r="BI325" s="67"/>
      <c r="BJ325" s="67"/>
      <c r="BK325" s="67"/>
      <c r="BL325" s="67"/>
      <c r="BM325" s="67"/>
      <c r="BN325" s="67"/>
      <c r="BO325" s="67"/>
      <c r="BP325" s="67"/>
      <c r="BQ325" s="67"/>
      <c r="BR325" s="67"/>
      <c r="BS325" s="67"/>
      <c r="BT325" s="67"/>
      <c r="BU325" s="67"/>
      <c r="BV325" s="67"/>
      <c r="BW325" s="67"/>
      <c r="BX325" s="67"/>
      <c r="BY325" s="67"/>
      <c r="BZ325" s="67"/>
      <c r="CA325" s="67"/>
      <c r="CB325" s="67"/>
      <c r="CC325" s="67"/>
      <c r="CD325" s="67"/>
      <c r="CE325" s="67"/>
      <c r="CF325" s="67"/>
      <c r="CG325" s="67"/>
      <c r="CH325" s="67"/>
      <c r="CI325" s="67"/>
      <c r="CJ325" s="67"/>
      <c r="CK325" s="67"/>
      <c r="CL325" s="67"/>
      <c r="CM325" s="67"/>
      <c r="CN325" s="67"/>
      <c r="CO325" s="67"/>
      <c r="CP325" s="67"/>
      <c r="CQ325" s="67"/>
      <c r="CR325" s="67"/>
      <c r="CS325" s="67"/>
      <c r="CT325" s="67"/>
      <c r="CU325" s="67"/>
      <c r="CV325" s="67"/>
      <c r="CW325" s="67"/>
      <c r="CX325" s="67"/>
      <c r="CY325" s="67"/>
      <c r="CZ325" s="67"/>
      <c r="DA325" s="67"/>
      <c r="DB325" s="67"/>
      <c r="DC325" s="67"/>
      <c r="DD325" s="67"/>
      <c r="DE325" s="67"/>
      <c r="DF325" s="67"/>
      <c r="DG325" s="67"/>
      <c r="DH325" s="67"/>
      <c r="DI325" s="67"/>
      <c r="DJ325" s="67"/>
      <c r="DK325" s="67"/>
      <c r="DL325" s="67"/>
      <c r="DM325" s="67"/>
      <c r="DN325" s="67"/>
      <c r="DO325" s="67"/>
      <c r="DP325" s="67"/>
      <c r="DQ325" s="67"/>
      <c r="DR325" s="67"/>
      <c r="DS325" s="67"/>
      <c r="DT325" s="67"/>
      <c r="DU325" s="67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  <c r="ER325" s="6"/>
      <c r="ES325" s="6"/>
      <c r="ET325" s="6"/>
      <c r="EU325" s="6"/>
      <c r="EV325" s="6"/>
      <c r="EW325" s="6"/>
      <c r="EX325" s="6"/>
      <c r="EY325" s="6"/>
      <c r="EZ325" s="6"/>
      <c r="FA325" s="6"/>
      <c r="FB325" s="6"/>
      <c r="FC325" s="6"/>
      <c r="FD325" s="6"/>
      <c r="FE325" s="6"/>
      <c r="FF325" s="6"/>
      <c r="FG325" s="6"/>
      <c r="FH325" s="6"/>
      <c r="FI325" s="6"/>
      <c r="FJ325" s="6"/>
      <c r="FK325" s="6"/>
      <c r="FL325" s="6"/>
      <c r="FM325" s="6"/>
      <c r="FN325" s="6"/>
      <c r="FO325" s="6"/>
      <c r="FP325" s="6"/>
      <c r="FQ325" s="6"/>
      <c r="FR325" s="6"/>
      <c r="FS325" s="6"/>
      <c r="FT325" s="6"/>
      <c r="FU325" s="6"/>
      <c r="FV325" s="6"/>
      <c r="FW325" s="6"/>
      <c r="FX325" s="6"/>
      <c r="FY325" s="6"/>
      <c r="FZ325" s="6"/>
      <c r="GA325" s="6"/>
      <c r="GB325" s="6"/>
      <c r="GC325" s="6"/>
      <c r="GD325" s="6"/>
      <c r="GE325" s="6"/>
      <c r="GF325" s="6"/>
      <c r="GG325" s="6"/>
      <c r="GH325" s="6"/>
      <c r="GI325" s="6"/>
      <c r="GJ325" s="6"/>
      <c r="GK325" s="6"/>
      <c r="GL325" s="6"/>
    </row>
    <row r="326" spans="1:194" x14ac:dyDescent="0.25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  <c r="AA326" s="67"/>
      <c r="AB326" s="67"/>
      <c r="AC326" s="67"/>
      <c r="AD326" s="67"/>
      <c r="AE326" s="67"/>
      <c r="AF326" s="67"/>
      <c r="AG326" s="67"/>
      <c r="AH326" s="67"/>
      <c r="AI326" s="67"/>
      <c r="AJ326" s="67"/>
      <c r="AK326" s="67"/>
      <c r="AL326" s="67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  <c r="AX326" s="67"/>
      <c r="AY326" s="67"/>
      <c r="AZ326" s="67"/>
      <c r="BA326" s="67"/>
      <c r="BB326" s="67"/>
      <c r="BC326" s="67"/>
      <c r="BD326" s="67"/>
      <c r="BE326" s="67"/>
      <c r="BF326" s="67"/>
      <c r="BG326" s="67"/>
      <c r="BH326" s="67"/>
      <c r="BI326" s="67"/>
      <c r="BJ326" s="67"/>
      <c r="BK326" s="67"/>
      <c r="BL326" s="67"/>
      <c r="BM326" s="67"/>
      <c r="BN326" s="67"/>
      <c r="BO326" s="67"/>
      <c r="BP326" s="67"/>
      <c r="BQ326" s="67"/>
      <c r="BR326" s="67"/>
      <c r="BS326" s="67"/>
      <c r="BT326" s="67"/>
      <c r="BU326" s="67"/>
      <c r="BV326" s="67"/>
      <c r="BW326" s="67"/>
      <c r="BX326" s="67"/>
      <c r="BY326" s="67"/>
      <c r="BZ326" s="67"/>
      <c r="CA326" s="67"/>
      <c r="CB326" s="67"/>
      <c r="CC326" s="67"/>
      <c r="CD326" s="67"/>
      <c r="CE326" s="67"/>
      <c r="CF326" s="67"/>
      <c r="CG326" s="67"/>
      <c r="CH326" s="67"/>
      <c r="CI326" s="67"/>
      <c r="CJ326" s="67"/>
      <c r="CK326" s="67"/>
      <c r="CL326" s="67"/>
      <c r="CM326" s="67"/>
      <c r="CN326" s="67"/>
      <c r="CO326" s="67"/>
      <c r="CP326" s="67"/>
      <c r="CQ326" s="67"/>
      <c r="CR326" s="67"/>
      <c r="CS326" s="67"/>
      <c r="CT326" s="67"/>
      <c r="CU326" s="67"/>
      <c r="CV326" s="67"/>
      <c r="CW326" s="67"/>
      <c r="CX326" s="67"/>
      <c r="CY326" s="67"/>
      <c r="CZ326" s="67"/>
      <c r="DA326" s="67"/>
      <c r="DB326" s="67"/>
      <c r="DC326" s="67"/>
      <c r="DD326" s="67"/>
      <c r="DE326" s="67"/>
      <c r="DF326" s="67"/>
      <c r="DG326" s="67"/>
      <c r="DH326" s="67"/>
      <c r="DI326" s="67"/>
      <c r="DJ326" s="67"/>
      <c r="DK326" s="67"/>
      <c r="DL326" s="67"/>
      <c r="DM326" s="67"/>
      <c r="DN326" s="67"/>
      <c r="DO326" s="67"/>
      <c r="DP326" s="67"/>
      <c r="DQ326" s="67"/>
      <c r="DR326" s="67"/>
      <c r="DS326" s="67"/>
      <c r="DT326" s="67"/>
      <c r="DU326" s="67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  <c r="ER326" s="6"/>
      <c r="ES326" s="6"/>
      <c r="ET326" s="6"/>
      <c r="EU326" s="6"/>
      <c r="EV326" s="6"/>
      <c r="EW326" s="6"/>
      <c r="EX326" s="6"/>
      <c r="EY326" s="6"/>
      <c r="EZ326" s="6"/>
      <c r="FA326" s="6"/>
      <c r="FB326" s="6"/>
      <c r="FC326" s="6"/>
      <c r="FD326" s="6"/>
      <c r="FE326" s="6"/>
      <c r="FF326" s="6"/>
      <c r="FG326" s="6"/>
      <c r="FH326" s="6"/>
      <c r="FI326" s="6"/>
      <c r="FJ326" s="6"/>
      <c r="FK326" s="6"/>
      <c r="FL326" s="6"/>
      <c r="FM326" s="6"/>
      <c r="FN326" s="6"/>
      <c r="FO326" s="6"/>
      <c r="FP326" s="6"/>
      <c r="FQ326" s="6"/>
      <c r="FR326" s="6"/>
      <c r="FS326" s="6"/>
      <c r="FT326" s="6"/>
      <c r="FU326" s="6"/>
      <c r="FV326" s="6"/>
      <c r="FW326" s="6"/>
      <c r="FX326" s="6"/>
      <c r="FY326" s="6"/>
      <c r="FZ326" s="6"/>
      <c r="GA326" s="6"/>
      <c r="GB326" s="6"/>
      <c r="GC326" s="6"/>
      <c r="GD326" s="6"/>
      <c r="GE326" s="6"/>
      <c r="GF326" s="6"/>
      <c r="GG326" s="6"/>
      <c r="GH326" s="6"/>
      <c r="GI326" s="6"/>
      <c r="GJ326" s="6"/>
      <c r="GK326" s="6"/>
      <c r="GL326" s="6"/>
    </row>
    <row r="327" spans="1:194" x14ac:dyDescent="0.25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  <c r="AA327" s="67"/>
      <c r="AB327" s="67"/>
      <c r="AC327" s="67"/>
      <c r="AD327" s="67"/>
      <c r="AE327" s="67"/>
      <c r="AF327" s="67"/>
      <c r="AG327" s="67"/>
      <c r="AH327" s="67"/>
      <c r="AI327" s="67"/>
      <c r="AJ327" s="67"/>
      <c r="AK327" s="67"/>
      <c r="AL327" s="67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/>
      <c r="BI327" s="67"/>
      <c r="BJ327" s="67"/>
      <c r="BK327" s="67"/>
      <c r="BL327" s="67"/>
      <c r="BM327" s="67"/>
      <c r="BN327" s="67"/>
      <c r="BO327" s="67"/>
      <c r="BP327" s="67"/>
      <c r="BQ327" s="67"/>
      <c r="BR327" s="67"/>
      <c r="BS327" s="67"/>
      <c r="BT327" s="67"/>
      <c r="BU327" s="67"/>
      <c r="BV327" s="67"/>
      <c r="BW327" s="67"/>
      <c r="BX327" s="67"/>
      <c r="BY327" s="67"/>
      <c r="BZ327" s="67"/>
      <c r="CA327" s="67"/>
      <c r="CB327" s="67"/>
      <c r="CC327" s="67"/>
      <c r="CD327" s="67"/>
      <c r="CE327" s="67"/>
      <c r="CF327" s="67"/>
      <c r="CG327" s="67"/>
      <c r="CH327" s="67"/>
      <c r="CI327" s="67"/>
      <c r="CJ327" s="67"/>
      <c r="CK327" s="67"/>
      <c r="CL327" s="67"/>
      <c r="CM327" s="67"/>
      <c r="CN327" s="67"/>
      <c r="CO327" s="67"/>
      <c r="CP327" s="67"/>
      <c r="CQ327" s="67"/>
      <c r="CR327" s="67"/>
      <c r="CS327" s="67"/>
      <c r="CT327" s="67"/>
      <c r="CU327" s="67"/>
      <c r="CV327" s="67"/>
      <c r="CW327" s="67"/>
      <c r="CX327" s="67"/>
      <c r="CY327" s="67"/>
      <c r="CZ327" s="67"/>
      <c r="DA327" s="67"/>
      <c r="DB327" s="67"/>
      <c r="DC327" s="67"/>
      <c r="DD327" s="67"/>
      <c r="DE327" s="67"/>
      <c r="DF327" s="67"/>
      <c r="DG327" s="67"/>
      <c r="DH327" s="67"/>
      <c r="DI327" s="67"/>
      <c r="DJ327" s="67"/>
      <c r="DK327" s="67"/>
      <c r="DL327" s="67"/>
      <c r="DM327" s="67"/>
      <c r="DN327" s="67"/>
      <c r="DO327" s="67"/>
      <c r="DP327" s="67"/>
      <c r="DQ327" s="67"/>
      <c r="DR327" s="67"/>
      <c r="DS327" s="67"/>
      <c r="DT327" s="67"/>
      <c r="DU327" s="67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  <c r="ER327" s="6"/>
      <c r="ES327" s="6"/>
      <c r="ET327" s="6"/>
      <c r="EU327" s="6"/>
      <c r="EV327" s="6"/>
      <c r="EW327" s="6"/>
      <c r="EX327" s="6"/>
      <c r="EY327" s="6"/>
      <c r="EZ327" s="6"/>
      <c r="FA327" s="6"/>
      <c r="FB327" s="6"/>
      <c r="FC327" s="6"/>
      <c r="FD327" s="6"/>
      <c r="FE327" s="6"/>
      <c r="FF327" s="6"/>
      <c r="FG327" s="6"/>
      <c r="FH327" s="6"/>
      <c r="FI327" s="6"/>
      <c r="FJ327" s="6"/>
      <c r="FK327" s="6"/>
      <c r="FL327" s="6"/>
      <c r="FM327" s="6"/>
      <c r="FN327" s="6"/>
      <c r="FO327" s="6"/>
      <c r="FP327" s="6"/>
      <c r="FQ327" s="6"/>
      <c r="FR327" s="6"/>
      <c r="FS327" s="6"/>
      <c r="FT327" s="6"/>
      <c r="FU327" s="6"/>
      <c r="FV327" s="6"/>
      <c r="FW327" s="6"/>
      <c r="FX327" s="6"/>
      <c r="FY327" s="6"/>
      <c r="FZ327" s="6"/>
      <c r="GA327" s="6"/>
      <c r="GB327" s="6"/>
      <c r="GC327" s="6"/>
      <c r="GD327" s="6"/>
      <c r="GE327" s="6"/>
      <c r="GF327" s="6"/>
      <c r="GG327" s="6"/>
      <c r="GH327" s="6"/>
      <c r="GI327" s="6"/>
      <c r="GJ327" s="6"/>
      <c r="GK327" s="6"/>
      <c r="GL327" s="6"/>
    </row>
    <row r="328" spans="1:194" x14ac:dyDescent="0.25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  <c r="AA328" s="67"/>
      <c r="AB328" s="67"/>
      <c r="AC328" s="67"/>
      <c r="AD328" s="67"/>
      <c r="AE328" s="67"/>
      <c r="AF328" s="67"/>
      <c r="AG328" s="67"/>
      <c r="AH328" s="67"/>
      <c r="AI328" s="67"/>
      <c r="AJ328" s="67"/>
      <c r="AK328" s="67"/>
      <c r="AL328" s="67"/>
      <c r="AM328" s="67"/>
      <c r="AN328" s="67"/>
      <c r="AO328" s="67"/>
      <c r="AP328" s="67"/>
      <c r="AQ328" s="67"/>
      <c r="AR328" s="67"/>
      <c r="AS328" s="67"/>
      <c r="AT328" s="67"/>
      <c r="AU328" s="67"/>
      <c r="AV328" s="67"/>
      <c r="AW328" s="67"/>
      <c r="AX328" s="67"/>
      <c r="AY328" s="67"/>
      <c r="AZ328" s="67"/>
      <c r="BA328" s="67"/>
      <c r="BB328" s="67"/>
      <c r="BC328" s="67"/>
      <c r="BD328" s="67"/>
      <c r="BE328" s="67"/>
      <c r="BF328" s="67"/>
      <c r="BG328" s="67"/>
      <c r="BH328" s="67"/>
      <c r="BI328" s="67"/>
      <c r="BJ328" s="67"/>
      <c r="BK328" s="67"/>
      <c r="BL328" s="67"/>
      <c r="BM328" s="67"/>
      <c r="BN328" s="67"/>
      <c r="BO328" s="67"/>
      <c r="BP328" s="67"/>
      <c r="BQ328" s="67"/>
      <c r="BR328" s="67"/>
      <c r="BS328" s="67"/>
      <c r="BT328" s="67"/>
      <c r="BU328" s="67"/>
      <c r="BV328" s="67"/>
      <c r="BW328" s="67"/>
      <c r="BX328" s="67"/>
      <c r="BY328" s="67"/>
      <c r="BZ328" s="67"/>
      <c r="CA328" s="67"/>
      <c r="CB328" s="67"/>
      <c r="CC328" s="67"/>
      <c r="CD328" s="67"/>
      <c r="CE328" s="67"/>
      <c r="CF328" s="67"/>
      <c r="CG328" s="67"/>
      <c r="CH328" s="67"/>
      <c r="CI328" s="67"/>
      <c r="CJ328" s="67"/>
      <c r="CK328" s="67"/>
      <c r="CL328" s="67"/>
      <c r="CM328" s="67"/>
      <c r="CN328" s="67"/>
      <c r="CO328" s="67"/>
      <c r="CP328" s="67"/>
      <c r="CQ328" s="67"/>
      <c r="CR328" s="67"/>
      <c r="CS328" s="67"/>
      <c r="CT328" s="67"/>
      <c r="CU328" s="67"/>
      <c r="CV328" s="67"/>
      <c r="CW328" s="67"/>
      <c r="CX328" s="67"/>
      <c r="CY328" s="67"/>
      <c r="CZ328" s="67"/>
      <c r="DA328" s="67"/>
      <c r="DB328" s="67"/>
      <c r="DC328" s="67"/>
      <c r="DD328" s="67"/>
      <c r="DE328" s="67"/>
      <c r="DF328" s="67"/>
      <c r="DG328" s="67"/>
      <c r="DH328" s="67"/>
      <c r="DI328" s="67"/>
      <c r="DJ328" s="67"/>
      <c r="DK328" s="67"/>
      <c r="DL328" s="67"/>
      <c r="DM328" s="67"/>
      <c r="DN328" s="67"/>
      <c r="DO328" s="67"/>
      <c r="DP328" s="67"/>
      <c r="DQ328" s="67"/>
      <c r="DR328" s="67"/>
      <c r="DS328" s="67"/>
      <c r="DT328" s="67"/>
      <c r="DU328" s="67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  <c r="ER328" s="6"/>
      <c r="ES328" s="6"/>
      <c r="ET328" s="6"/>
      <c r="EU328" s="6"/>
      <c r="EV328" s="6"/>
      <c r="EW328" s="6"/>
      <c r="EX328" s="6"/>
      <c r="EY328" s="6"/>
      <c r="EZ328" s="6"/>
      <c r="FA328" s="6"/>
      <c r="FB328" s="6"/>
      <c r="FC328" s="6"/>
      <c r="FD328" s="6"/>
      <c r="FE328" s="6"/>
      <c r="FF328" s="6"/>
      <c r="FG328" s="6"/>
      <c r="FH328" s="6"/>
      <c r="FI328" s="6"/>
      <c r="FJ328" s="6"/>
      <c r="FK328" s="6"/>
      <c r="FL328" s="6"/>
      <c r="FM328" s="6"/>
      <c r="FN328" s="6"/>
      <c r="FO328" s="6"/>
      <c r="FP328" s="6"/>
      <c r="FQ328" s="6"/>
      <c r="FR328" s="6"/>
      <c r="FS328" s="6"/>
      <c r="FT328" s="6"/>
      <c r="FU328" s="6"/>
      <c r="FV328" s="6"/>
      <c r="FW328" s="6"/>
      <c r="FX328" s="6"/>
      <c r="FY328" s="6"/>
      <c r="FZ328" s="6"/>
      <c r="GA328" s="6"/>
      <c r="GB328" s="6"/>
      <c r="GC328" s="6"/>
      <c r="GD328" s="6"/>
      <c r="GE328" s="6"/>
      <c r="GF328" s="6"/>
      <c r="GG328" s="6"/>
      <c r="GH328" s="6"/>
      <c r="GI328" s="6"/>
      <c r="GJ328" s="6"/>
      <c r="GK328" s="6"/>
      <c r="GL328" s="6"/>
    </row>
    <row r="329" spans="1:194" x14ac:dyDescent="0.25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  <c r="AA329" s="67"/>
      <c r="AB329" s="67"/>
      <c r="AC329" s="67"/>
      <c r="AD329" s="67"/>
      <c r="AE329" s="67"/>
      <c r="AF329" s="67"/>
      <c r="AG329" s="67"/>
      <c r="AH329" s="67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7"/>
      <c r="AT329" s="67"/>
      <c r="AU329" s="67"/>
      <c r="AV329" s="67"/>
      <c r="AW329" s="67"/>
      <c r="AX329" s="67"/>
      <c r="AY329" s="67"/>
      <c r="AZ329" s="67"/>
      <c r="BA329" s="67"/>
      <c r="BB329" s="67"/>
      <c r="BC329" s="67"/>
      <c r="BD329" s="67"/>
      <c r="BE329" s="67"/>
      <c r="BF329" s="67"/>
      <c r="BG329" s="67"/>
      <c r="BH329" s="67"/>
      <c r="BI329" s="67"/>
      <c r="BJ329" s="67"/>
      <c r="BK329" s="67"/>
      <c r="BL329" s="67"/>
      <c r="BM329" s="67"/>
      <c r="BN329" s="67"/>
      <c r="BO329" s="67"/>
      <c r="BP329" s="67"/>
      <c r="BQ329" s="67"/>
      <c r="BR329" s="67"/>
      <c r="BS329" s="67"/>
      <c r="BT329" s="67"/>
      <c r="BU329" s="67"/>
      <c r="BV329" s="67"/>
      <c r="BW329" s="67"/>
      <c r="BX329" s="67"/>
      <c r="BY329" s="67"/>
      <c r="BZ329" s="67"/>
      <c r="CA329" s="67"/>
      <c r="CB329" s="67"/>
      <c r="CC329" s="67"/>
      <c r="CD329" s="67"/>
      <c r="CE329" s="67"/>
      <c r="CF329" s="67"/>
      <c r="CG329" s="67"/>
      <c r="CH329" s="67"/>
      <c r="CI329" s="67"/>
      <c r="CJ329" s="67"/>
      <c r="CK329" s="67"/>
      <c r="CL329" s="67"/>
      <c r="CM329" s="67"/>
      <c r="CN329" s="67"/>
      <c r="CO329" s="67"/>
      <c r="CP329" s="67"/>
      <c r="CQ329" s="67"/>
      <c r="CR329" s="67"/>
      <c r="CS329" s="67"/>
      <c r="CT329" s="67"/>
      <c r="CU329" s="67"/>
      <c r="CV329" s="67"/>
      <c r="CW329" s="67"/>
      <c r="CX329" s="67"/>
      <c r="CY329" s="67"/>
      <c r="CZ329" s="67"/>
      <c r="DA329" s="67"/>
      <c r="DB329" s="67"/>
      <c r="DC329" s="67"/>
      <c r="DD329" s="67"/>
      <c r="DE329" s="67"/>
      <c r="DF329" s="67"/>
      <c r="DG329" s="67"/>
      <c r="DH329" s="67"/>
      <c r="DI329" s="67"/>
      <c r="DJ329" s="67"/>
      <c r="DK329" s="67"/>
      <c r="DL329" s="67"/>
      <c r="DM329" s="67"/>
      <c r="DN329" s="67"/>
      <c r="DO329" s="67"/>
      <c r="DP329" s="67"/>
      <c r="DQ329" s="67"/>
      <c r="DR329" s="67"/>
      <c r="DS329" s="67"/>
      <c r="DT329" s="67"/>
      <c r="DU329" s="67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  <c r="ER329" s="6"/>
      <c r="ES329" s="6"/>
      <c r="ET329" s="6"/>
      <c r="EU329" s="6"/>
      <c r="EV329" s="6"/>
      <c r="EW329" s="6"/>
      <c r="EX329" s="6"/>
      <c r="EY329" s="6"/>
      <c r="EZ329" s="6"/>
      <c r="FA329" s="6"/>
      <c r="FB329" s="6"/>
      <c r="FC329" s="6"/>
      <c r="FD329" s="6"/>
      <c r="FE329" s="6"/>
      <c r="FF329" s="6"/>
      <c r="FG329" s="6"/>
      <c r="FH329" s="6"/>
      <c r="FI329" s="6"/>
      <c r="FJ329" s="6"/>
      <c r="FK329" s="6"/>
      <c r="FL329" s="6"/>
      <c r="FM329" s="6"/>
      <c r="FN329" s="6"/>
      <c r="FO329" s="6"/>
      <c r="FP329" s="6"/>
      <c r="FQ329" s="6"/>
      <c r="FR329" s="6"/>
      <c r="FS329" s="6"/>
      <c r="FT329" s="6"/>
      <c r="FU329" s="6"/>
      <c r="FV329" s="6"/>
      <c r="FW329" s="6"/>
      <c r="FX329" s="6"/>
      <c r="FY329" s="6"/>
      <c r="FZ329" s="6"/>
      <c r="GA329" s="6"/>
      <c r="GB329" s="6"/>
      <c r="GC329" s="6"/>
      <c r="GD329" s="6"/>
      <c r="GE329" s="6"/>
      <c r="GF329" s="6"/>
      <c r="GG329" s="6"/>
      <c r="GH329" s="6"/>
      <c r="GI329" s="6"/>
      <c r="GJ329" s="6"/>
      <c r="GK329" s="6"/>
      <c r="GL329" s="6"/>
    </row>
    <row r="330" spans="1:194" x14ac:dyDescent="0.25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  <c r="AA330" s="67"/>
      <c r="AB330" s="67"/>
      <c r="AC330" s="67"/>
      <c r="AD330" s="67"/>
      <c r="AE330" s="67"/>
      <c r="AF330" s="67"/>
      <c r="AG330" s="67"/>
      <c r="AH330" s="67"/>
      <c r="AI330" s="67"/>
      <c r="AJ330" s="67"/>
      <c r="AK330" s="67"/>
      <c r="AL330" s="67"/>
      <c r="AM330" s="67"/>
      <c r="AN330" s="67"/>
      <c r="AO330" s="67"/>
      <c r="AP330" s="67"/>
      <c r="AQ330" s="67"/>
      <c r="AR330" s="67"/>
      <c r="AS330" s="67"/>
      <c r="AT330" s="67"/>
      <c r="AU330" s="67"/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  <c r="BI330" s="67"/>
      <c r="BJ330" s="67"/>
      <c r="BK330" s="67"/>
      <c r="BL330" s="67"/>
      <c r="BM330" s="67"/>
      <c r="BN330" s="67"/>
      <c r="BO330" s="67"/>
      <c r="BP330" s="67"/>
      <c r="BQ330" s="67"/>
      <c r="BR330" s="67"/>
      <c r="BS330" s="67"/>
      <c r="BT330" s="67"/>
      <c r="BU330" s="67"/>
      <c r="BV330" s="67"/>
      <c r="BW330" s="67"/>
      <c r="BX330" s="67"/>
      <c r="BY330" s="67"/>
      <c r="BZ330" s="67"/>
      <c r="CA330" s="67"/>
      <c r="CB330" s="67"/>
      <c r="CC330" s="67"/>
      <c r="CD330" s="67"/>
      <c r="CE330" s="67"/>
      <c r="CF330" s="67"/>
      <c r="CG330" s="67"/>
      <c r="CH330" s="67"/>
      <c r="CI330" s="67"/>
      <c r="CJ330" s="67"/>
      <c r="CK330" s="67"/>
      <c r="CL330" s="67"/>
      <c r="CM330" s="67"/>
      <c r="CN330" s="67"/>
      <c r="CO330" s="67"/>
      <c r="CP330" s="67"/>
      <c r="CQ330" s="67"/>
      <c r="CR330" s="67"/>
      <c r="CS330" s="67"/>
      <c r="CT330" s="67"/>
      <c r="CU330" s="67"/>
      <c r="CV330" s="67"/>
      <c r="CW330" s="67"/>
      <c r="CX330" s="67"/>
      <c r="CY330" s="67"/>
      <c r="CZ330" s="67"/>
      <c r="DA330" s="67"/>
      <c r="DB330" s="67"/>
      <c r="DC330" s="67"/>
      <c r="DD330" s="67"/>
      <c r="DE330" s="67"/>
      <c r="DF330" s="67"/>
      <c r="DG330" s="67"/>
      <c r="DH330" s="67"/>
      <c r="DI330" s="67"/>
      <c r="DJ330" s="67"/>
      <c r="DK330" s="67"/>
      <c r="DL330" s="67"/>
      <c r="DM330" s="67"/>
      <c r="DN330" s="67"/>
      <c r="DO330" s="67"/>
      <c r="DP330" s="67"/>
      <c r="DQ330" s="67"/>
      <c r="DR330" s="67"/>
      <c r="DS330" s="67"/>
      <c r="DT330" s="67"/>
      <c r="DU330" s="67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  <c r="ER330" s="6"/>
      <c r="ES330" s="6"/>
      <c r="ET330" s="6"/>
      <c r="EU330" s="6"/>
      <c r="EV330" s="6"/>
      <c r="EW330" s="6"/>
      <c r="EX330" s="6"/>
      <c r="EY330" s="6"/>
      <c r="EZ330" s="6"/>
      <c r="FA330" s="6"/>
      <c r="FB330" s="6"/>
      <c r="FC330" s="6"/>
      <c r="FD330" s="6"/>
      <c r="FE330" s="6"/>
      <c r="FF330" s="6"/>
      <c r="FG330" s="6"/>
      <c r="FH330" s="6"/>
      <c r="FI330" s="6"/>
      <c r="FJ330" s="6"/>
      <c r="FK330" s="6"/>
      <c r="FL330" s="6"/>
      <c r="FM330" s="6"/>
      <c r="FN330" s="6"/>
      <c r="FO330" s="6"/>
      <c r="FP330" s="6"/>
      <c r="FQ330" s="6"/>
      <c r="FR330" s="6"/>
      <c r="FS330" s="6"/>
      <c r="FT330" s="6"/>
      <c r="FU330" s="6"/>
      <c r="FV330" s="6"/>
      <c r="FW330" s="6"/>
      <c r="FX330" s="6"/>
      <c r="FY330" s="6"/>
      <c r="FZ330" s="6"/>
      <c r="GA330" s="6"/>
      <c r="GB330" s="6"/>
      <c r="GC330" s="6"/>
      <c r="GD330" s="6"/>
      <c r="GE330" s="6"/>
      <c r="GF330" s="6"/>
      <c r="GG330" s="6"/>
      <c r="GH330" s="6"/>
      <c r="GI330" s="6"/>
      <c r="GJ330" s="6"/>
      <c r="GK330" s="6"/>
      <c r="GL330" s="6"/>
    </row>
    <row r="331" spans="1:194" x14ac:dyDescent="0.25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  <c r="AA331" s="67"/>
      <c r="AB331" s="67"/>
      <c r="AC331" s="67"/>
      <c r="AD331" s="67"/>
      <c r="AE331" s="67"/>
      <c r="AF331" s="67"/>
      <c r="AG331" s="67"/>
      <c r="AH331" s="67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7"/>
      <c r="AT331" s="67"/>
      <c r="AU331" s="67"/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  <c r="BI331" s="67"/>
      <c r="BJ331" s="67"/>
      <c r="BK331" s="67"/>
      <c r="BL331" s="67"/>
      <c r="BM331" s="67"/>
      <c r="BN331" s="67"/>
      <c r="BO331" s="67"/>
      <c r="BP331" s="67"/>
      <c r="BQ331" s="67"/>
      <c r="BR331" s="67"/>
      <c r="BS331" s="67"/>
      <c r="BT331" s="67"/>
      <c r="BU331" s="67"/>
      <c r="BV331" s="67"/>
      <c r="BW331" s="67"/>
      <c r="BX331" s="67"/>
      <c r="BY331" s="67"/>
      <c r="BZ331" s="67"/>
      <c r="CA331" s="67"/>
      <c r="CB331" s="67"/>
      <c r="CC331" s="67"/>
      <c r="CD331" s="67"/>
      <c r="CE331" s="67"/>
      <c r="CF331" s="67"/>
      <c r="CG331" s="67"/>
      <c r="CH331" s="67"/>
      <c r="CI331" s="67"/>
      <c r="CJ331" s="67"/>
      <c r="CK331" s="67"/>
      <c r="CL331" s="67"/>
      <c r="CM331" s="67"/>
      <c r="CN331" s="67"/>
      <c r="CO331" s="67"/>
      <c r="CP331" s="67"/>
      <c r="CQ331" s="67"/>
      <c r="CR331" s="67"/>
      <c r="CS331" s="67"/>
      <c r="CT331" s="67"/>
      <c r="CU331" s="67"/>
      <c r="CV331" s="67"/>
      <c r="CW331" s="67"/>
      <c r="CX331" s="67"/>
      <c r="CY331" s="67"/>
      <c r="CZ331" s="67"/>
      <c r="DA331" s="67"/>
      <c r="DB331" s="67"/>
      <c r="DC331" s="67"/>
      <c r="DD331" s="67"/>
      <c r="DE331" s="67"/>
      <c r="DF331" s="67"/>
      <c r="DG331" s="67"/>
      <c r="DH331" s="67"/>
      <c r="DI331" s="67"/>
      <c r="DJ331" s="67"/>
      <c r="DK331" s="67"/>
      <c r="DL331" s="67"/>
      <c r="DM331" s="67"/>
      <c r="DN331" s="67"/>
      <c r="DO331" s="67"/>
      <c r="DP331" s="67"/>
      <c r="DQ331" s="67"/>
      <c r="DR331" s="67"/>
      <c r="DS331" s="67"/>
      <c r="DT331" s="67"/>
      <c r="DU331" s="67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  <c r="ER331" s="6"/>
      <c r="ES331" s="6"/>
      <c r="ET331" s="6"/>
      <c r="EU331" s="6"/>
      <c r="EV331" s="6"/>
      <c r="EW331" s="6"/>
      <c r="EX331" s="6"/>
      <c r="EY331" s="6"/>
      <c r="EZ331" s="6"/>
      <c r="FA331" s="6"/>
      <c r="FB331" s="6"/>
      <c r="FC331" s="6"/>
      <c r="FD331" s="6"/>
      <c r="FE331" s="6"/>
      <c r="FF331" s="6"/>
      <c r="FG331" s="6"/>
      <c r="FH331" s="6"/>
      <c r="FI331" s="6"/>
      <c r="FJ331" s="6"/>
      <c r="FK331" s="6"/>
      <c r="FL331" s="6"/>
      <c r="FM331" s="6"/>
      <c r="FN331" s="6"/>
      <c r="FO331" s="6"/>
      <c r="FP331" s="6"/>
      <c r="FQ331" s="6"/>
      <c r="FR331" s="6"/>
      <c r="FS331" s="6"/>
      <c r="FT331" s="6"/>
      <c r="FU331" s="6"/>
      <c r="FV331" s="6"/>
      <c r="FW331" s="6"/>
      <c r="FX331" s="6"/>
      <c r="FY331" s="6"/>
      <c r="FZ331" s="6"/>
      <c r="GA331" s="6"/>
      <c r="GB331" s="6"/>
      <c r="GC331" s="6"/>
      <c r="GD331" s="6"/>
      <c r="GE331" s="6"/>
      <c r="GF331" s="6"/>
      <c r="GG331" s="6"/>
      <c r="GH331" s="6"/>
      <c r="GI331" s="6"/>
      <c r="GJ331" s="6"/>
      <c r="GK331" s="6"/>
      <c r="GL331" s="6"/>
    </row>
    <row r="332" spans="1:194" x14ac:dyDescent="0.25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B332" s="67"/>
      <c r="AC332" s="67"/>
      <c r="AD332" s="67"/>
      <c r="AE332" s="67"/>
      <c r="AF332" s="67"/>
      <c r="AG332" s="67"/>
      <c r="AH332" s="67"/>
      <c r="AI332" s="67"/>
      <c r="AJ332" s="67"/>
      <c r="AK332" s="67"/>
      <c r="AL332" s="67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  <c r="BI332" s="67"/>
      <c r="BJ332" s="67"/>
      <c r="BK332" s="67"/>
      <c r="BL332" s="67"/>
      <c r="BM332" s="67"/>
      <c r="BN332" s="67"/>
      <c r="BO332" s="67"/>
      <c r="BP332" s="67"/>
      <c r="BQ332" s="67"/>
      <c r="BR332" s="67"/>
      <c r="BS332" s="67"/>
      <c r="BT332" s="67"/>
      <c r="BU332" s="67"/>
      <c r="BV332" s="67"/>
      <c r="BW332" s="67"/>
      <c r="BX332" s="67"/>
      <c r="BY332" s="67"/>
      <c r="BZ332" s="67"/>
      <c r="CA332" s="67"/>
      <c r="CB332" s="67"/>
      <c r="CC332" s="67"/>
      <c r="CD332" s="67"/>
      <c r="CE332" s="67"/>
      <c r="CF332" s="67"/>
      <c r="CG332" s="67"/>
      <c r="CH332" s="67"/>
      <c r="CI332" s="67"/>
      <c r="CJ332" s="67"/>
      <c r="CK332" s="67"/>
      <c r="CL332" s="67"/>
      <c r="CM332" s="67"/>
      <c r="CN332" s="67"/>
      <c r="CO332" s="67"/>
      <c r="CP332" s="67"/>
      <c r="CQ332" s="67"/>
      <c r="CR332" s="67"/>
      <c r="CS332" s="67"/>
      <c r="CT332" s="67"/>
      <c r="CU332" s="67"/>
      <c r="CV332" s="67"/>
      <c r="CW332" s="67"/>
      <c r="CX332" s="67"/>
      <c r="CY332" s="67"/>
      <c r="CZ332" s="67"/>
      <c r="DA332" s="67"/>
      <c r="DB332" s="67"/>
      <c r="DC332" s="67"/>
      <c r="DD332" s="67"/>
      <c r="DE332" s="67"/>
      <c r="DF332" s="67"/>
      <c r="DG332" s="67"/>
      <c r="DH332" s="67"/>
      <c r="DI332" s="67"/>
      <c r="DJ332" s="67"/>
      <c r="DK332" s="67"/>
      <c r="DL332" s="67"/>
      <c r="DM332" s="67"/>
      <c r="DN332" s="67"/>
      <c r="DO332" s="67"/>
      <c r="DP332" s="67"/>
      <c r="DQ332" s="67"/>
      <c r="DR332" s="67"/>
      <c r="DS332" s="67"/>
      <c r="DT332" s="67"/>
      <c r="DU332" s="67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  <c r="ER332" s="6"/>
      <c r="ES332" s="6"/>
      <c r="ET332" s="6"/>
      <c r="EU332" s="6"/>
      <c r="EV332" s="6"/>
      <c r="EW332" s="6"/>
      <c r="EX332" s="6"/>
      <c r="EY332" s="6"/>
      <c r="EZ332" s="6"/>
      <c r="FA332" s="6"/>
      <c r="FB332" s="6"/>
      <c r="FC332" s="6"/>
      <c r="FD332" s="6"/>
      <c r="FE332" s="6"/>
      <c r="FF332" s="6"/>
      <c r="FG332" s="6"/>
      <c r="FH332" s="6"/>
      <c r="FI332" s="6"/>
      <c r="FJ332" s="6"/>
      <c r="FK332" s="6"/>
      <c r="FL332" s="6"/>
      <c r="FM332" s="6"/>
      <c r="FN332" s="6"/>
      <c r="FO332" s="6"/>
      <c r="FP332" s="6"/>
      <c r="FQ332" s="6"/>
      <c r="FR332" s="6"/>
      <c r="FS332" s="6"/>
      <c r="FT332" s="6"/>
      <c r="FU332" s="6"/>
      <c r="FV332" s="6"/>
      <c r="FW332" s="6"/>
      <c r="FX332" s="6"/>
      <c r="FY332" s="6"/>
      <c r="FZ332" s="6"/>
      <c r="GA332" s="6"/>
      <c r="GB332" s="6"/>
      <c r="GC332" s="6"/>
      <c r="GD332" s="6"/>
      <c r="GE332" s="6"/>
      <c r="GF332" s="6"/>
      <c r="GG332" s="6"/>
      <c r="GH332" s="6"/>
      <c r="GI332" s="6"/>
      <c r="GJ332" s="6"/>
      <c r="GK332" s="6"/>
      <c r="GL332" s="6"/>
    </row>
    <row r="333" spans="1:194" x14ac:dyDescent="0.25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  <c r="AA333" s="67"/>
      <c r="AB333" s="67"/>
      <c r="AC333" s="67"/>
      <c r="AD333" s="67"/>
      <c r="AE333" s="67"/>
      <c r="AF333" s="67"/>
      <c r="AG333" s="67"/>
      <c r="AH333" s="67"/>
      <c r="AI333" s="67"/>
      <c r="AJ333" s="67"/>
      <c r="AK333" s="67"/>
      <c r="AL333" s="67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  <c r="BI333" s="67"/>
      <c r="BJ333" s="67"/>
      <c r="BK333" s="67"/>
      <c r="BL333" s="67"/>
      <c r="BM333" s="67"/>
      <c r="BN333" s="67"/>
      <c r="BO333" s="67"/>
      <c r="BP333" s="67"/>
      <c r="BQ333" s="67"/>
      <c r="BR333" s="67"/>
      <c r="BS333" s="67"/>
      <c r="BT333" s="67"/>
      <c r="BU333" s="67"/>
      <c r="BV333" s="67"/>
      <c r="BW333" s="67"/>
      <c r="BX333" s="67"/>
      <c r="BY333" s="67"/>
      <c r="BZ333" s="67"/>
      <c r="CA333" s="67"/>
      <c r="CB333" s="67"/>
      <c r="CC333" s="67"/>
      <c r="CD333" s="67"/>
      <c r="CE333" s="67"/>
      <c r="CF333" s="67"/>
      <c r="CG333" s="67"/>
      <c r="CH333" s="67"/>
      <c r="CI333" s="67"/>
      <c r="CJ333" s="67"/>
      <c r="CK333" s="67"/>
      <c r="CL333" s="67"/>
      <c r="CM333" s="67"/>
      <c r="CN333" s="67"/>
      <c r="CO333" s="67"/>
      <c r="CP333" s="67"/>
      <c r="CQ333" s="67"/>
      <c r="CR333" s="67"/>
      <c r="CS333" s="67"/>
      <c r="CT333" s="67"/>
      <c r="CU333" s="67"/>
      <c r="CV333" s="67"/>
      <c r="CW333" s="67"/>
      <c r="CX333" s="67"/>
      <c r="CY333" s="67"/>
      <c r="CZ333" s="67"/>
      <c r="DA333" s="67"/>
      <c r="DB333" s="67"/>
      <c r="DC333" s="67"/>
      <c r="DD333" s="67"/>
      <c r="DE333" s="67"/>
      <c r="DF333" s="67"/>
      <c r="DG333" s="67"/>
      <c r="DH333" s="67"/>
      <c r="DI333" s="67"/>
      <c r="DJ333" s="67"/>
      <c r="DK333" s="67"/>
      <c r="DL333" s="67"/>
      <c r="DM333" s="67"/>
      <c r="DN333" s="67"/>
      <c r="DO333" s="67"/>
      <c r="DP333" s="67"/>
      <c r="DQ333" s="67"/>
      <c r="DR333" s="67"/>
      <c r="DS333" s="67"/>
      <c r="DT333" s="67"/>
      <c r="DU333" s="67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  <c r="ER333" s="6"/>
      <c r="ES333" s="6"/>
      <c r="ET333" s="6"/>
      <c r="EU333" s="6"/>
      <c r="EV333" s="6"/>
      <c r="EW333" s="6"/>
      <c r="EX333" s="6"/>
      <c r="EY333" s="6"/>
      <c r="EZ333" s="6"/>
      <c r="FA333" s="6"/>
      <c r="FB333" s="6"/>
      <c r="FC333" s="6"/>
      <c r="FD333" s="6"/>
      <c r="FE333" s="6"/>
      <c r="FF333" s="6"/>
      <c r="FG333" s="6"/>
      <c r="FH333" s="6"/>
      <c r="FI333" s="6"/>
      <c r="FJ333" s="6"/>
      <c r="FK333" s="6"/>
      <c r="FL333" s="6"/>
      <c r="FM333" s="6"/>
      <c r="FN333" s="6"/>
      <c r="FO333" s="6"/>
      <c r="FP333" s="6"/>
      <c r="FQ333" s="6"/>
      <c r="FR333" s="6"/>
      <c r="FS333" s="6"/>
      <c r="FT333" s="6"/>
      <c r="FU333" s="6"/>
      <c r="FV333" s="6"/>
      <c r="FW333" s="6"/>
      <c r="FX333" s="6"/>
      <c r="FY333" s="6"/>
      <c r="FZ333" s="6"/>
      <c r="GA333" s="6"/>
      <c r="GB333" s="6"/>
      <c r="GC333" s="6"/>
      <c r="GD333" s="6"/>
      <c r="GE333" s="6"/>
      <c r="GF333" s="6"/>
      <c r="GG333" s="6"/>
      <c r="GH333" s="6"/>
      <c r="GI333" s="6"/>
      <c r="GJ333" s="6"/>
      <c r="GK333" s="6"/>
      <c r="GL333" s="6"/>
    </row>
    <row r="334" spans="1:194" x14ac:dyDescent="0.25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  <c r="AA334" s="67"/>
      <c r="AB334" s="67"/>
      <c r="AC334" s="67"/>
      <c r="AD334" s="67"/>
      <c r="AE334" s="67"/>
      <c r="AF334" s="67"/>
      <c r="AG334" s="67"/>
      <c r="AH334" s="67"/>
      <c r="AI334" s="67"/>
      <c r="AJ334" s="67"/>
      <c r="AK334" s="67"/>
      <c r="AL334" s="67"/>
      <c r="AM334" s="67"/>
      <c r="AN334" s="67"/>
      <c r="AO334" s="67"/>
      <c r="AP334" s="67"/>
      <c r="AQ334" s="67"/>
      <c r="AR334" s="67"/>
      <c r="AS334" s="67"/>
      <c r="AT334" s="67"/>
      <c r="AU334" s="67"/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  <c r="BI334" s="67"/>
      <c r="BJ334" s="67"/>
      <c r="BK334" s="67"/>
      <c r="BL334" s="67"/>
      <c r="BM334" s="67"/>
      <c r="BN334" s="67"/>
      <c r="BO334" s="67"/>
      <c r="BP334" s="67"/>
      <c r="BQ334" s="67"/>
      <c r="BR334" s="67"/>
      <c r="BS334" s="67"/>
      <c r="BT334" s="67"/>
      <c r="BU334" s="67"/>
      <c r="BV334" s="67"/>
      <c r="BW334" s="67"/>
      <c r="BX334" s="67"/>
      <c r="BY334" s="67"/>
      <c r="BZ334" s="67"/>
      <c r="CA334" s="67"/>
      <c r="CB334" s="67"/>
      <c r="CC334" s="67"/>
      <c r="CD334" s="67"/>
      <c r="CE334" s="67"/>
      <c r="CF334" s="67"/>
      <c r="CG334" s="67"/>
      <c r="CH334" s="67"/>
      <c r="CI334" s="67"/>
      <c r="CJ334" s="67"/>
      <c r="CK334" s="67"/>
      <c r="CL334" s="67"/>
      <c r="CM334" s="67"/>
      <c r="CN334" s="67"/>
      <c r="CO334" s="67"/>
      <c r="CP334" s="67"/>
      <c r="CQ334" s="67"/>
      <c r="CR334" s="67"/>
      <c r="CS334" s="67"/>
      <c r="CT334" s="67"/>
      <c r="CU334" s="67"/>
      <c r="CV334" s="67"/>
      <c r="CW334" s="67"/>
      <c r="CX334" s="67"/>
      <c r="CY334" s="67"/>
      <c r="CZ334" s="67"/>
      <c r="DA334" s="67"/>
      <c r="DB334" s="67"/>
      <c r="DC334" s="67"/>
      <c r="DD334" s="67"/>
      <c r="DE334" s="67"/>
      <c r="DF334" s="67"/>
      <c r="DG334" s="67"/>
      <c r="DH334" s="67"/>
      <c r="DI334" s="67"/>
      <c r="DJ334" s="67"/>
      <c r="DK334" s="67"/>
      <c r="DL334" s="67"/>
      <c r="DM334" s="67"/>
      <c r="DN334" s="67"/>
      <c r="DO334" s="67"/>
      <c r="DP334" s="67"/>
      <c r="DQ334" s="67"/>
      <c r="DR334" s="67"/>
      <c r="DS334" s="67"/>
      <c r="DT334" s="67"/>
      <c r="DU334" s="67"/>
    </row>
    <row r="335" spans="1:194" x14ac:dyDescent="0.25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  <c r="AA335" s="67"/>
      <c r="AB335" s="67"/>
      <c r="AC335" s="67"/>
      <c r="AD335" s="67"/>
      <c r="AE335" s="67"/>
      <c r="AF335" s="67"/>
      <c r="AG335" s="67"/>
      <c r="AH335" s="67"/>
      <c r="AI335" s="67"/>
      <c r="AJ335" s="67"/>
      <c r="AK335" s="67"/>
      <c r="AL335" s="67"/>
      <c r="AM335" s="67"/>
      <c r="AN335" s="67"/>
      <c r="AO335" s="67"/>
      <c r="AP335" s="67"/>
      <c r="AQ335" s="67"/>
      <c r="AR335" s="67"/>
      <c r="AS335" s="67"/>
      <c r="AT335" s="67"/>
      <c r="AU335" s="67"/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  <c r="BI335" s="67"/>
      <c r="BJ335" s="67"/>
      <c r="BK335" s="67"/>
      <c r="BL335" s="67"/>
      <c r="BM335" s="67"/>
      <c r="BN335" s="67"/>
      <c r="BO335" s="67"/>
      <c r="BP335" s="67"/>
      <c r="BQ335" s="67"/>
      <c r="BR335" s="67"/>
      <c r="BS335" s="67"/>
      <c r="BT335" s="67"/>
      <c r="BU335" s="67"/>
      <c r="BV335" s="67"/>
      <c r="BW335" s="67"/>
      <c r="BX335" s="67"/>
      <c r="BY335" s="67"/>
      <c r="BZ335" s="67"/>
      <c r="CA335" s="67"/>
      <c r="CB335" s="67"/>
      <c r="CC335" s="67"/>
      <c r="CD335" s="67"/>
      <c r="CE335" s="67"/>
      <c r="CF335" s="67"/>
      <c r="CG335" s="67"/>
      <c r="CH335" s="67"/>
      <c r="CI335" s="67"/>
      <c r="CJ335" s="67"/>
      <c r="CK335" s="67"/>
      <c r="CL335" s="67"/>
      <c r="CM335" s="67"/>
      <c r="CN335" s="67"/>
      <c r="CO335" s="67"/>
      <c r="CP335" s="67"/>
      <c r="CQ335" s="67"/>
      <c r="CR335" s="67"/>
      <c r="CS335" s="67"/>
      <c r="CT335" s="67"/>
      <c r="CU335" s="67"/>
      <c r="CV335" s="67"/>
      <c r="CW335" s="67"/>
      <c r="CX335" s="67"/>
      <c r="CY335" s="67"/>
      <c r="CZ335" s="67"/>
      <c r="DA335" s="67"/>
      <c r="DB335" s="67"/>
      <c r="DC335" s="67"/>
      <c r="DD335" s="67"/>
      <c r="DE335" s="67"/>
      <c r="DF335" s="67"/>
      <c r="DG335" s="67"/>
      <c r="DH335" s="67"/>
      <c r="DI335" s="67"/>
      <c r="DJ335" s="67"/>
      <c r="DK335" s="67"/>
      <c r="DL335" s="67"/>
      <c r="DM335" s="67"/>
      <c r="DN335" s="67"/>
      <c r="DO335" s="67"/>
      <c r="DP335" s="67"/>
      <c r="DQ335" s="67"/>
      <c r="DR335" s="67"/>
      <c r="DS335" s="67"/>
      <c r="DT335" s="67"/>
      <c r="DU335" s="67"/>
    </row>
    <row r="336" spans="1:194" x14ac:dyDescent="0.25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  <c r="AA336" s="67"/>
      <c r="AB336" s="67"/>
      <c r="AC336" s="67"/>
      <c r="AD336" s="67"/>
      <c r="AE336" s="67"/>
      <c r="AF336" s="67"/>
      <c r="AG336" s="67"/>
      <c r="AH336" s="67"/>
      <c r="AI336" s="67"/>
      <c r="AJ336" s="67"/>
      <c r="AK336" s="67"/>
      <c r="AL336" s="67"/>
      <c r="AM336" s="67"/>
      <c r="AN336" s="67"/>
      <c r="AO336" s="67"/>
      <c r="AP336" s="67"/>
      <c r="AQ336" s="67"/>
      <c r="AR336" s="67"/>
      <c r="AS336" s="67"/>
      <c r="AT336" s="67"/>
      <c r="AU336" s="67"/>
      <c r="AV336" s="67"/>
      <c r="AW336" s="67"/>
      <c r="AX336" s="67"/>
      <c r="AY336" s="67"/>
      <c r="AZ336" s="67"/>
      <c r="BA336" s="67"/>
      <c r="BB336" s="67"/>
      <c r="BC336" s="67"/>
      <c r="BD336" s="67"/>
      <c r="BE336" s="67"/>
      <c r="BF336" s="67"/>
      <c r="BG336" s="67"/>
      <c r="BH336" s="67"/>
      <c r="BI336" s="67"/>
      <c r="BJ336" s="67"/>
      <c r="BK336" s="67"/>
      <c r="BL336" s="67"/>
      <c r="BM336" s="67"/>
      <c r="BN336" s="67"/>
      <c r="BO336" s="67"/>
      <c r="BP336" s="67"/>
      <c r="BQ336" s="67"/>
      <c r="BR336" s="67"/>
      <c r="BS336" s="67"/>
      <c r="BT336" s="67"/>
      <c r="BU336" s="67"/>
      <c r="BV336" s="67"/>
      <c r="BW336" s="67"/>
      <c r="BX336" s="67"/>
      <c r="BY336" s="67"/>
      <c r="BZ336" s="67"/>
      <c r="CA336" s="67"/>
      <c r="CB336" s="67"/>
      <c r="CC336" s="67"/>
      <c r="CD336" s="67"/>
      <c r="CE336" s="67"/>
      <c r="CF336" s="67"/>
      <c r="CG336" s="67"/>
      <c r="CH336" s="67"/>
      <c r="CI336" s="67"/>
      <c r="CJ336" s="67"/>
      <c r="CK336" s="67"/>
      <c r="CL336" s="67"/>
      <c r="CM336" s="67"/>
      <c r="CN336" s="67"/>
      <c r="CO336" s="67"/>
      <c r="CP336" s="67"/>
      <c r="CQ336" s="67"/>
      <c r="CR336" s="67"/>
      <c r="CS336" s="67"/>
      <c r="CT336" s="67"/>
      <c r="CU336" s="67"/>
      <c r="CV336" s="67"/>
      <c r="CW336" s="67"/>
      <c r="CX336" s="67"/>
      <c r="CY336" s="67"/>
      <c r="CZ336" s="67"/>
      <c r="DA336" s="67"/>
      <c r="DB336" s="67"/>
      <c r="DC336" s="67"/>
      <c r="DD336" s="67"/>
      <c r="DE336" s="67"/>
      <c r="DF336" s="67"/>
      <c r="DG336" s="67"/>
      <c r="DH336" s="67"/>
      <c r="DI336" s="67"/>
      <c r="DJ336" s="67"/>
      <c r="DK336" s="67"/>
      <c r="DL336" s="67"/>
      <c r="DM336" s="67"/>
      <c r="DN336" s="67"/>
      <c r="DO336" s="67"/>
      <c r="DP336" s="67"/>
      <c r="DQ336" s="67"/>
      <c r="DR336" s="67"/>
      <c r="DS336" s="67"/>
      <c r="DT336" s="67"/>
      <c r="DU336" s="67"/>
    </row>
    <row r="337" spans="1:125" x14ac:dyDescent="0.25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  <c r="AA337" s="67"/>
      <c r="AB337" s="67"/>
      <c r="AC337" s="67"/>
      <c r="AD337" s="67"/>
      <c r="AE337" s="67"/>
      <c r="AF337" s="67"/>
      <c r="AG337" s="67"/>
      <c r="AH337" s="67"/>
      <c r="AI337" s="67"/>
      <c r="AJ337" s="67"/>
      <c r="AK337" s="67"/>
      <c r="AL337" s="67"/>
      <c r="AM337" s="67"/>
      <c r="AN337" s="67"/>
      <c r="AO337" s="67"/>
      <c r="AP337" s="67"/>
      <c r="AQ337" s="67"/>
      <c r="AR337" s="67"/>
      <c r="AS337" s="67"/>
      <c r="AT337" s="67"/>
      <c r="AU337" s="67"/>
      <c r="AV337" s="67"/>
      <c r="AW337" s="67"/>
      <c r="AX337" s="67"/>
      <c r="AY337" s="67"/>
      <c r="AZ337" s="67"/>
      <c r="BA337" s="67"/>
      <c r="BB337" s="67"/>
      <c r="BC337" s="67"/>
      <c r="BD337" s="67"/>
      <c r="BE337" s="67"/>
      <c r="BF337" s="67"/>
      <c r="BG337" s="67"/>
      <c r="BH337" s="67"/>
      <c r="BI337" s="67"/>
      <c r="BJ337" s="67"/>
      <c r="BK337" s="67"/>
      <c r="BL337" s="67"/>
      <c r="BM337" s="67"/>
      <c r="BN337" s="67"/>
      <c r="BO337" s="67"/>
      <c r="BP337" s="67"/>
      <c r="BQ337" s="67"/>
      <c r="BR337" s="67"/>
      <c r="BS337" s="67"/>
      <c r="BT337" s="67"/>
      <c r="BU337" s="67"/>
      <c r="BV337" s="67"/>
      <c r="BW337" s="67"/>
      <c r="BX337" s="67"/>
      <c r="BY337" s="67"/>
      <c r="BZ337" s="67"/>
      <c r="CA337" s="67"/>
      <c r="CB337" s="67"/>
      <c r="CC337" s="67"/>
      <c r="CD337" s="67"/>
      <c r="CE337" s="67"/>
      <c r="CF337" s="67"/>
      <c r="CG337" s="67"/>
      <c r="CH337" s="67"/>
      <c r="CI337" s="67"/>
      <c r="CJ337" s="67"/>
      <c r="CK337" s="67"/>
      <c r="CL337" s="67"/>
      <c r="CM337" s="67"/>
      <c r="CN337" s="67"/>
      <c r="CO337" s="67"/>
      <c r="CP337" s="67"/>
      <c r="CQ337" s="67"/>
      <c r="CR337" s="67"/>
      <c r="CS337" s="67"/>
      <c r="CT337" s="67"/>
      <c r="CU337" s="67"/>
      <c r="CV337" s="67"/>
      <c r="CW337" s="67"/>
      <c r="CX337" s="67"/>
      <c r="CY337" s="67"/>
      <c r="CZ337" s="67"/>
      <c r="DA337" s="67"/>
      <c r="DB337" s="67"/>
      <c r="DC337" s="67"/>
      <c r="DD337" s="67"/>
      <c r="DE337" s="67"/>
      <c r="DF337" s="67"/>
      <c r="DG337" s="67"/>
      <c r="DH337" s="67"/>
      <c r="DI337" s="67"/>
      <c r="DJ337" s="67"/>
      <c r="DK337" s="67"/>
      <c r="DL337" s="67"/>
      <c r="DM337" s="67"/>
      <c r="DN337" s="67"/>
      <c r="DO337" s="67"/>
      <c r="DP337" s="67"/>
      <c r="DQ337" s="67"/>
      <c r="DR337" s="67"/>
      <c r="DS337" s="67"/>
      <c r="DT337" s="67"/>
      <c r="DU337" s="67"/>
    </row>
    <row r="338" spans="1:125" x14ac:dyDescent="0.25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  <c r="AA338" s="67"/>
      <c r="AB338" s="67"/>
      <c r="AC338" s="67"/>
      <c r="AD338" s="67"/>
      <c r="AE338" s="67"/>
      <c r="AF338" s="67"/>
      <c r="AG338" s="67"/>
      <c r="AH338" s="67"/>
      <c r="AI338" s="67"/>
      <c r="AJ338" s="67"/>
      <c r="AK338" s="67"/>
      <c r="AL338" s="67"/>
      <c r="AM338" s="67"/>
      <c r="AN338" s="67"/>
      <c r="AO338" s="67"/>
      <c r="AP338" s="67"/>
      <c r="AQ338" s="67"/>
      <c r="AR338" s="67"/>
      <c r="AS338" s="67"/>
      <c r="AT338" s="67"/>
      <c r="AU338" s="67"/>
      <c r="AV338" s="67"/>
      <c r="AW338" s="67"/>
      <c r="AX338" s="67"/>
      <c r="AY338" s="67"/>
      <c r="AZ338" s="67"/>
      <c r="BA338" s="67"/>
      <c r="BB338" s="67"/>
      <c r="BC338" s="67"/>
      <c r="BD338" s="67"/>
      <c r="BE338" s="67"/>
      <c r="BF338" s="67"/>
      <c r="BG338" s="67"/>
      <c r="BH338" s="67"/>
      <c r="BI338" s="67"/>
      <c r="BJ338" s="67"/>
      <c r="BK338" s="67"/>
      <c r="BL338" s="67"/>
      <c r="BM338" s="67"/>
      <c r="BN338" s="67"/>
      <c r="BO338" s="67"/>
      <c r="BP338" s="67"/>
      <c r="BQ338" s="67"/>
      <c r="BR338" s="67"/>
      <c r="BS338" s="67"/>
      <c r="BT338" s="67"/>
      <c r="BU338" s="67"/>
      <c r="BV338" s="67"/>
      <c r="BW338" s="67"/>
      <c r="BX338" s="67"/>
      <c r="BY338" s="67"/>
      <c r="BZ338" s="67"/>
      <c r="CA338" s="67"/>
      <c r="CB338" s="67"/>
      <c r="CC338" s="67"/>
      <c r="CD338" s="67"/>
      <c r="CE338" s="67"/>
      <c r="CF338" s="67"/>
      <c r="CG338" s="67"/>
      <c r="CH338" s="67"/>
      <c r="CI338" s="67"/>
      <c r="CJ338" s="67"/>
      <c r="CK338" s="67"/>
      <c r="CL338" s="67"/>
      <c r="CM338" s="67"/>
      <c r="CN338" s="67"/>
      <c r="CO338" s="67"/>
      <c r="CP338" s="67"/>
      <c r="CQ338" s="67"/>
      <c r="CR338" s="67"/>
      <c r="CS338" s="67"/>
      <c r="CT338" s="67"/>
      <c r="CU338" s="67"/>
      <c r="CV338" s="67"/>
      <c r="CW338" s="67"/>
      <c r="CX338" s="67"/>
      <c r="CY338" s="67"/>
      <c r="CZ338" s="67"/>
      <c r="DA338" s="67"/>
      <c r="DB338" s="67"/>
      <c r="DC338" s="67"/>
      <c r="DD338" s="67"/>
      <c r="DE338" s="67"/>
      <c r="DF338" s="67"/>
      <c r="DG338" s="67"/>
      <c r="DH338" s="67"/>
      <c r="DI338" s="67"/>
      <c r="DJ338" s="67"/>
      <c r="DK338" s="67"/>
      <c r="DL338" s="67"/>
      <c r="DM338" s="67"/>
      <c r="DN338" s="67"/>
      <c r="DO338" s="67"/>
      <c r="DP338" s="67"/>
      <c r="DQ338" s="67"/>
      <c r="DR338" s="67"/>
      <c r="DS338" s="67"/>
      <c r="DT338" s="67"/>
      <c r="DU338" s="67"/>
    </row>
    <row r="339" spans="1:125" x14ac:dyDescent="0.25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  <c r="AA339" s="67"/>
      <c r="AB339" s="67"/>
      <c r="AC339" s="67"/>
      <c r="AD339" s="67"/>
      <c r="AE339" s="67"/>
      <c r="AF339" s="67"/>
      <c r="AG339" s="67"/>
      <c r="AH339" s="67"/>
      <c r="AI339" s="67"/>
      <c r="AJ339" s="67"/>
      <c r="AK339" s="67"/>
      <c r="AL339" s="67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  <c r="AX339" s="67"/>
      <c r="AY339" s="67"/>
      <c r="AZ339" s="67"/>
      <c r="BA339" s="67"/>
      <c r="BB339" s="67"/>
      <c r="BC339" s="67"/>
      <c r="BD339" s="67"/>
      <c r="BE339" s="67"/>
      <c r="BF339" s="67"/>
      <c r="BG339" s="67"/>
      <c r="BH339" s="67"/>
      <c r="BI339" s="67"/>
      <c r="BJ339" s="67"/>
      <c r="BK339" s="67"/>
      <c r="BL339" s="67"/>
      <c r="BM339" s="67"/>
      <c r="BN339" s="67"/>
      <c r="BO339" s="67"/>
      <c r="BP339" s="67"/>
      <c r="BQ339" s="67"/>
      <c r="BR339" s="67"/>
      <c r="BS339" s="67"/>
      <c r="BT339" s="67"/>
      <c r="BU339" s="67"/>
      <c r="BV339" s="67"/>
      <c r="BW339" s="67"/>
      <c r="BX339" s="67"/>
      <c r="BY339" s="67"/>
      <c r="BZ339" s="67"/>
      <c r="CA339" s="67"/>
      <c r="CB339" s="67"/>
      <c r="CC339" s="67"/>
      <c r="CD339" s="67"/>
      <c r="CE339" s="67"/>
      <c r="CF339" s="67"/>
      <c r="CG339" s="67"/>
      <c r="CH339" s="67"/>
      <c r="CI339" s="67"/>
      <c r="CJ339" s="67"/>
      <c r="CK339" s="67"/>
      <c r="CL339" s="67"/>
      <c r="CM339" s="67"/>
      <c r="CN339" s="67"/>
      <c r="CO339" s="67"/>
      <c r="CP339" s="67"/>
      <c r="CQ339" s="67"/>
      <c r="CR339" s="67"/>
      <c r="CS339" s="67"/>
      <c r="CT339" s="67"/>
      <c r="CU339" s="67"/>
      <c r="CV339" s="67"/>
      <c r="CW339" s="67"/>
      <c r="CX339" s="67"/>
      <c r="CY339" s="67"/>
      <c r="CZ339" s="67"/>
      <c r="DA339" s="67"/>
      <c r="DB339" s="67"/>
      <c r="DC339" s="67"/>
      <c r="DD339" s="67"/>
      <c r="DE339" s="67"/>
      <c r="DF339" s="67"/>
      <c r="DG339" s="67"/>
      <c r="DH339" s="67"/>
      <c r="DI339" s="67"/>
      <c r="DJ339" s="67"/>
      <c r="DK339" s="67"/>
      <c r="DL339" s="67"/>
      <c r="DM339" s="67"/>
      <c r="DN339" s="67"/>
      <c r="DO339" s="67"/>
      <c r="DP339" s="67"/>
      <c r="DQ339" s="67"/>
      <c r="DR339" s="67"/>
      <c r="DS339" s="67"/>
      <c r="DT339" s="67"/>
      <c r="DU339" s="67"/>
    </row>
    <row r="340" spans="1:125" x14ac:dyDescent="0.25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  <c r="AA340" s="67"/>
      <c r="AB340" s="67"/>
      <c r="AC340" s="67"/>
      <c r="AD340" s="67"/>
      <c r="AE340" s="67"/>
      <c r="AF340" s="67"/>
      <c r="AG340" s="67"/>
      <c r="AH340" s="67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7"/>
      <c r="AT340" s="67"/>
      <c r="AU340" s="67"/>
      <c r="AV340" s="67"/>
      <c r="AW340" s="67"/>
      <c r="AX340" s="67"/>
      <c r="AY340" s="67"/>
      <c r="AZ340" s="67"/>
      <c r="BA340" s="67"/>
      <c r="BB340" s="67"/>
      <c r="BC340" s="67"/>
      <c r="BD340" s="67"/>
      <c r="BE340" s="67"/>
      <c r="BF340" s="67"/>
      <c r="BG340" s="67"/>
      <c r="BH340" s="67"/>
      <c r="BI340" s="67"/>
      <c r="BJ340" s="67"/>
      <c r="BK340" s="67"/>
      <c r="BL340" s="67"/>
      <c r="BM340" s="67"/>
      <c r="BN340" s="67"/>
      <c r="BO340" s="67"/>
      <c r="BP340" s="67"/>
      <c r="BQ340" s="67"/>
      <c r="BR340" s="67"/>
      <c r="BS340" s="67"/>
      <c r="BT340" s="67"/>
      <c r="BU340" s="67"/>
      <c r="BV340" s="67"/>
      <c r="BW340" s="67"/>
      <c r="BX340" s="67"/>
      <c r="BY340" s="67"/>
      <c r="BZ340" s="67"/>
      <c r="CA340" s="67"/>
      <c r="CB340" s="67"/>
      <c r="CC340" s="67"/>
      <c r="CD340" s="67"/>
      <c r="CE340" s="67"/>
      <c r="CF340" s="67"/>
      <c r="CG340" s="67"/>
      <c r="CH340" s="67"/>
      <c r="CI340" s="67"/>
      <c r="CJ340" s="67"/>
      <c r="CK340" s="67"/>
      <c r="CL340" s="67"/>
      <c r="CM340" s="67"/>
      <c r="CN340" s="67"/>
      <c r="CO340" s="67"/>
      <c r="CP340" s="67"/>
      <c r="CQ340" s="67"/>
      <c r="CR340" s="67"/>
      <c r="CS340" s="67"/>
      <c r="CT340" s="67"/>
      <c r="CU340" s="67"/>
      <c r="CV340" s="67"/>
      <c r="CW340" s="67"/>
      <c r="CX340" s="67"/>
      <c r="CY340" s="67"/>
      <c r="CZ340" s="67"/>
      <c r="DA340" s="67"/>
      <c r="DB340" s="67"/>
      <c r="DC340" s="67"/>
      <c r="DD340" s="67"/>
      <c r="DE340" s="67"/>
      <c r="DF340" s="67"/>
      <c r="DG340" s="67"/>
      <c r="DH340" s="67"/>
      <c r="DI340" s="67"/>
      <c r="DJ340" s="67"/>
      <c r="DK340" s="67"/>
      <c r="DL340" s="67"/>
      <c r="DM340" s="67"/>
      <c r="DN340" s="67"/>
      <c r="DO340" s="67"/>
      <c r="DP340" s="67"/>
      <c r="DQ340" s="67"/>
      <c r="DR340" s="67"/>
      <c r="DS340" s="67"/>
      <c r="DT340" s="67"/>
      <c r="DU340" s="67"/>
    </row>
    <row r="341" spans="1:125" x14ac:dyDescent="0.25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  <c r="AA341" s="67"/>
      <c r="AB341" s="67"/>
      <c r="AC341" s="67"/>
      <c r="AD341" s="67"/>
      <c r="AE341" s="67"/>
      <c r="AF341" s="67"/>
      <c r="AG341" s="67"/>
      <c r="AH341" s="67"/>
      <c r="AI341" s="67"/>
      <c r="AJ341" s="67"/>
      <c r="AK341" s="67"/>
      <c r="AL341" s="67"/>
      <c r="AM341" s="67"/>
      <c r="AN341" s="67"/>
      <c r="AO341" s="67"/>
      <c r="AP341" s="67"/>
      <c r="AQ341" s="67"/>
      <c r="AR341" s="67"/>
      <c r="AS341" s="67"/>
      <c r="AT341" s="67"/>
      <c r="AU341" s="67"/>
      <c r="AV341" s="67"/>
      <c r="AW341" s="67"/>
      <c r="AX341" s="67"/>
      <c r="AY341" s="67"/>
      <c r="AZ341" s="67"/>
      <c r="BA341" s="67"/>
      <c r="BB341" s="67"/>
      <c r="BC341" s="67"/>
      <c r="BD341" s="67"/>
      <c r="BE341" s="67"/>
      <c r="BF341" s="67"/>
      <c r="BG341" s="67"/>
      <c r="BH341" s="67"/>
      <c r="BI341" s="67"/>
      <c r="BJ341" s="67"/>
      <c r="BK341" s="67"/>
      <c r="BL341" s="67"/>
      <c r="BM341" s="67"/>
      <c r="BN341" s="67"/>
      <c r="BO341" s="67"/>
      <c r="BP341" s="67"/>
      <c r="BQ341" s="67"/>
      <c r="BR341" s="67"/>
      <c r="BS341" s="67"/>
      <c r="BT341" s="67"/>
      <c r="BU341" s="67"/>
      <c r="BV341" s="67"/>
      <c r="BW341" s="67"/>
      <c r="BX341" s="67"/>
      <c r="BY341" s="67"/>
      <c r="BZ341" s="67"/>
      <c r="CA341" s="67"/>
      <c r="CB341" s="67"/>
      <c r="CC341" s="67"/>
      <c r="CD341" s="67"/>
      <c r="CE341" s="67"/>
      <c r="CF341" s="67"/>
      <c r="CG341" s="67"/>
      <c r="CH341" s="67"/>
      <c r="CI341" s="67"/>
      <c r="CJ341" s="67"/>
      <c r="CK341" s="67"/>
      <c r="CL341" s="67"/>
      <c r="CM341" s="67"/>
      <c r="CN341" s="67"/>
      <c r="CO341" s="67"/>
      <c r="CP341" s="67"/>
      <c r="CQ341" s="67"/>
      <c r="CR341" s="67"/>
      <c r="CS341" s="67"/>
      <c r="CT341" s="67"/>
      <c r="CU341" s="67"/>
      <c r="CV341" s="67"/>
      <c r="CW341" s="67"/>
      <c r="CX341" s="67"/>
      <c r="CY341" s="67"/>
      <c r="CZ341" s="67"/>
      <c r="DA341" s="67"/>
      <c r="DB341" s="67"/>
      <c r="DC341" s="67"/>
      <c r="DD341" s="67"/>
      <c r="DE341" s="67"/>
      <c r="DF341" s="67"/>
      <c r="DG341" s="67"/>
      <c r="DH341" s="67"/>
      <c r="DI341" s="67"/>
      <c r="DJ341" s="67"/>
      <c r="DK341" s="67"/>
      <c r="DL341" s="67"/>
      <c r="DM341" s="67"/>
      <c r="DN341" s="67"/>
      <c r="DO341" s="67"/>
      <c r="DP341" s="67"/>
      <c r="DQ341" s="67"/>
      <c r="DR341" s="67"/>
      <c r="DS341" s="67"/>
      <c r="DT341" s="67"/>
      <c r="DU341" s="67"/>
    </row>
    <row r="342" spans="1:125" x14ac:dyDescent="0.25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  <c r="AA342" s="67"/>
      <c r="AB342" s="67"/>
      <c r="AC342" s="67"/>
      <c r="AD342" s="67"/>
      <c r="AE342" s="67"/>
      <c r="AF342" s="67"/>
      <c r="AG342" s="67"/>
      <c r="AH342" s="67"/>
      <c r="AI342" s="67"/>
      <c r="AJ342" s="67"/>
      <c r="AK342" s="67"/>
      <c r="AL342" s="67"/>
      <c r="AM342" s="67"/>
      <c r="AN342" s="67"/>
      <c r="AO342" s="67"/>
      <c r="AP342" s="67"/>
      <c r="AQ342" s="67"/>
      <c r="AR342" s="67"/>
      <c r="AS342" s="67"/>
      <c r="AT342" s="67"/>
      <c r="AU342" s="67"/>
      <c r="AV342" s="67"/>
      <c r="AW342" s="67"/>
      <c r="AX342" s="67"/>
      <c r="AY342" s="67"/>
      <c r="AZ342" s="67"/>
      <c r="BA342" s="67"/>
      <c r="BB342" s="67"/>
      <c r="BC342" s="67"/>
      <c r="BD342" s="67"/>
      <c r="BE342" s="67"/>
      <c r="BF342" s="67"/>
      <c r="BG342" s="67"/>
      <c r="BH342" s="67"/>
      <c r="BI342" s="67"/>
      <c r="BJ342" s="67"/>
      <c r="BK342" s="67"/>
      <c r="BL342" s="67"/>
      <c r="BM342" s="67"/>
      <c r="BN342" s="67"/>
      <c r="BO342" s="67"/>
      <c r="BP342" s="67"/>
      <c r="BQ342" s="67"/>
      <c r="BR342" s="67"/>
      <c r="BS342" s="67"/>
      <c r="BT342" s="67"/>
      <c r="BU342" s="67"/>
      <c r="BV342" s="67"/>
      <c r="BW342" s="67"/>
      <c r="BX342" s="67"/>
      <c r="BY342" s="67"/>
      <c r="BZ342" s="67"/>
      <c r="CA342" s="67"/>
      <c r="CB342" s="67"/>
      <c r="CC342" s="67"/>
      <c r="CD342" s="67"/>
      <c r="CE342" s="67"/>
      <c r="CF342" s="67"/>
      <c r="CG342" s="67"/>
      <c r="CH342" s="67"/>
      <c r="CI342" s="67"/>
      <c r="CJ342" s="67"/>
      <c r="CK342" s="67"/>
      <c r="CL342" s="67"/>
      <c r="CM342" s="67"/>
      <c r="CN342" s="67"/>
      <c r="CO342" s="67"/>
      <c r="CP342" s="67"/>
      <c r="CQ342" s="67"/>
      <c r="CR342" s="67"/>
      <c r="CS342" s="67"/>
      <c r="CT342" s="67"/>
      <c r="CU342" s="67"/>
      <c r="CV342" s="67"/>
      <c r="CW342" s="67"/>
      <c r="CX342" s="67"/>
      <c r="CY342" s="67"/>
      <c r="CZ342" s="67"/>
      <c r="DA342" s="67"/>
      <c r="DB342" s="67"/>
      <c r="DC342" s="67"/>
      <c r="DD342" s="67"/>
      <c r="DE342" s="67"/>
      <c r="DF342" s="67"/>
      <c r="DG342" s="67"/>
      <c r="DH342" s="67"/>
      <c r="DI342" s="67"/>
      <c r="DJ342" s="67"/>
      <c r="DK342" s="67"/>
      <c r="DL342" s="67"/>
      <c r="DM342" s="67"/>
      <c r="DN342" s="67"/>
      <c r="DO342" s="67"/>
      <c r="DP342" s="67"/>
      <c r="DQ342" s="67"/>
      <c r="DR342" s="67"/>
      <c r="DS342" s="67"/>
      <c r="DT342" s="67"/>
      <c r="DU342" s="67"/>
    </row>
    <row r="343" spans="1:125" x14ac:dyDescent="0.25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  <c r="AA343" s="67"/>
      <c r="AB343" s="67"/>
      <c r="AC343" s="67"/>
      <c r="AD343" s="67"/>
      <c r="AE343" s="67"/>
      <c r="AF343" s="67"/>
      <c r="AG343" s="67"/>
      <c r="AH343" s="67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7"/>
      <c r="AT343" s="67"/>
      <c r="AU343" s="67"/>
      <c r="AV343" s="67"/>
      <c r="AW343" s="67"/>
      <c r="AX343" s="67"/>
      <c r="AY343" s="67"/>
      <c r="AZ343" s="67"/>
      <c r="BA343" s="67"/>
      <c r="BB343" s="67"/>
      <c r="BC343" s="67"/>
      <c r="BD343" s="67"/>
      <c r="BE343" s="67"/>
      <c r="BF343" s="67"/>
      <c r="BG343" s="67"/>
      <c r="BH343" s="67"/>
      <c r="BI343" s="67"/>
      <c r="BJ343" s="67"/>
      <c r="BK343" s="67"/>
      <c r="BL343" s="67"/>
      <c r="BM343" s="67"/>
      <c r="BN343" s="67"/>
      <c r="BO343" s="67"/>
      <c r="BP343" s="67"/>
      <c r="BQ343" s="67"/>
      <c r="BR343" s="67"/>
      <c r="BS343" s="67"/>
      <c r="BT343" s="67"/>
      <c r="BU343" s="67"/>
      <c r="BV343" s="67"/>
      <c r="BW343" s="67"/>
      <c r="BX343" s="67"/>
      <c r="BY343" s="67"/>
      <c r="BZ343" s="67"/>
      <c r="CA343" s="67"/>
      <c r="CB343" s="67"/>
      <c r="CC343" s="67"/>
      <c r="CD343" s="67"/>
      <c r="CE343" s="67"/>
      <c r="CF343" s="67"/>
      <c r="CG343" s="67"/>
      <c r="CH343" s="67"/>
      <c r="CI343" s="67"/>
      <c r="CJ343" s="67"/>
      <c r="CK343" s="67"/>
      <c r="CL343" s="67"/>
      <c r="CM343" s="67"/>
      <c r="CN343" s="67"/>
      <c r="CO343" s="67"/>
      <c r="CP343" s="67"/>
      <c r="CQ343" s="67"/>
      <c r="CR343" s="67"/>
      <c r="CS343" s="67"/>
      <c r="CT343" s="67"/>
      <c r="CU343" s="67"/>
      <c r="CV343" s="67"/>
      <c r="CW343" s="67"/>
      <c r="CX343" s="67"/>
      <c r="CY343" s="67"/>
      <c r="CZ343" s="67"/>
      <c r="DA343" s="67"/>
      <c r="DB343" s="67"/>
      <c r="DC343" s="67"/>
      <c r="DD343" s="67"/>
      <c r="DE343" s="67"/>
      <c r="DF343" s="67"/>
      <c r="DG343" s="67"/>
      <c r="DH343" s="67"/>
      <c r="DI343" s="67"/>
      <c r="DJ343" s="67"/>
      <c r="DK343" s="67"/>
      <c r="DL343" s="67"/>
      <c r="DM343" s="67"/>
      <c r="DN343" s="67"/>
      <c r="DO343" s="67"/>
      <c r="DP343" s="67"/>
      <c r="DQ343" s="67"/>
      <c r="DR343" s="67"/>
      <c r="DS343" s="67"/>
      <c r="DT343" s="67"/>
      <c r="DU343" s="67"/>
    </row>
    <row r="344" spans="1:125" x14ac:dyDescent="0.25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  <c r="AA344" s="67"/>
      <c r="AB344" s="67"/>
      <c r="AC344" s="67"/>
      <c r="AD344" s="67"/>
      <c r="AE344" s="67"/>
      <c r="AF344" s="67"/>
      <c r="AG344" s="67"/>
      <c r="AH344" s="67"/>
      <c r="AI344" s="67"/>
      <c r="AJ344" s="67"/>
      <c r="AK344" s="67"/>
      <c r="AL344" s="67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  <c r="AX344" s="67"/>
      <c r="AY344" s="67"/>
      <c r="AZ344" s="67"/>
      <c r="BA344" s="67"/>
      <c r="BB344" s="67"/>
      <c r="BC344" s="67"/>
      <c r="BD344" s="67"/>
      <c r="BE344" s="67"/>
      <c r="BF344" s="67"/>
      <c r="BG344" s="67"/>
      <c r="BH344" s="67"/>
      <c r="BI344" s="67"/>
      <c r="BJ344" s="67"/>
      <c r="BK344" s="67"/>
      <c r="BL344" s="67"/>
      <c r="BM344" s="67"/>
      <c r="BN344" s="67"/>
      <c r="BO344" s="67"/>
      <c r="BP344" s="67"/>
      <c r="BQ344" s="67"/>
      <c r="BR344" s="67"/>
      <c r="BS344" s="67"/>
      <c r="BT344" s="67"/>
      <c r="BU344" s="67"/>
      <c r="BV344" s="67"/>
      <c r="BW344" s="67"/>
      <c r="BX344" s="67"/>
      <c r="BY344" s="67"/>
      <c r="BZ344" s="67"/>
      <c r="CA344" s="67"/>
      <c r="CB344" s="67"/>
      <c r="CC344" s="67"/>
      <c r="CD344" s="67"/>
      <c r="CE344" s="67"/>
      <c r="CF344" s="67"/>
      <c r="CG344" s="67"/>
      <c r="CH344" s="67"/>
      <c r="CI344" s="67"/>
      <c r="CJ344" s="67"/>
      <c r="CK344" s="67"/>
      <c r="CL344" s="67"/>
      <c r="CM344" s="67"/>
      <c r="CN344" s="67"/>
      <c r="CO344" s="67"/>
      <c r="CP344" s="67"/>
      <c r="CQ344" s="67"/>
      <c r="CR344" s="67"/>
      <c r="CS344" s="67"/>
      <c r="CT344" s="67"/>
      <c r="CU344" s="67"/>
      <c r="CV344" s="67"/>
      <c r="CW344" s="67"/>
      <c r="CX344" s="67"/>
      <c r="CY344" s="67"/>
      <c r="CZ344" s="67"/>
      <c r="DA344" s="67"/>
      <c r="DB344" s="67"/>
      <c r="DC344" s="67"/>
      <c r="DD344" s="67"/>
      <c r="DE344" s="67"/>
      <c r="DF344" s="67"/>
      <c r="DG344" s="67"/>
      <c r="DH344" s="67"/>
      <c r="DI344" s="67"/>
      <c r="DJ344" s="67"/>
      <c r="DK344" s="67"/>
      <c r="DL344" s="67"/>
      <c r="DM344" s="67"/>
      <c r="DN344" s="67"/>
      <c r="DO344" s="67"/>
      <c r="DP344" s="67"/>
      <c r="DQ344" s="67"/>
      <c r="DR344" s="67"/>
      <c r="DS344" s="67"/>
      <c r="DT344" s="67"/>
      <c r="DU344" s="67"/>
    </row>
    <row r="345" spans="1:125" x14ac:dyDescent="0.25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  <c r="AA345" s="67"/>
      <c r="AB345" s="67"/>
      <c r="AC345" s="67"/>
      <c r="AD345" s="67"/>
      <c r="AE345" s="67"/>
      <c r="AF345" s="67"/>
      <c r="AG345" s="67"/>
      <c r="AH345" s="67"/>
      <c r="AI345" s="67"/>
      <c r="AJ345" s="67"/>
      <c r="AK345" s="67"/>
      <c r="AL345" s="67"/>
      <c r="AM345" s="67"/>
      <c r="AN345" s="67"/>
      <c r="AO345" s="67"/>
      <c r="AP345" s="67"/>
      <c r="AQ345" s="67"/>
      <c r="AR345" s="67"/>
      <c r="AS345" s="67"/>
      <c r="AT345" s="67"/>
      <c r="AU345" s="67"/>
      <c r="AV345" s="67"/>
      <c r="AW345" s="67"/>
      <c r="AX345" s="67"/>
      <c r="AY345" s="67"/>
      <c r="AZ345" s="67"/>
      <c r="BA345" s="67"/>
      <c r="BB345" s="67"/>
      <c r="BC345" s="67"/>
      <c r="BD345" s="67"/>
      <c r="BE345" s="67"/>
      <c r="BF345" s="67"/>
      <c r="BG345" s="67"/>
      <c r="BH345" s="67"/>
      <c r="BI345" s="67"/>
      <c r="BJ345" s="67"/>
      <c r="BK345" s="67"/>
      <c r="BL345" s="67"/>
      <c r="BM345" s="67"/>
      <c r="BN345" s="67"/>
      <c r="BO345" s="67"/>
      <c r="BP345" s="67"/>
      <c r="BQ345" s="67"/>
      <c r="BR345" s="67"/>
      <c r="BS345" s="67"/>
      <c r="BT345" s="67"/>
      <c r="BU345" s="67"/>
      <c r="BV345" s="67"/>
      <c r="BW345" s="67"/>
      <c r="BX345" s="67"/>
      <c r="BY345" s="67"/>
      <c r="BZ345" s="67"/>
      <c r="CA345" s="67"/>
      <c r="CB345" s="67"/>
      <c r="CC345" s="67"/>
      <c r="CD345" s="67"/>
      <c r="CE345" s="67"/>
      <c r="CF345" s="67"/>
      <c r="CG345" s="67"/>
      <c r="CH345" s="67"/>
      <c r="CI345" s="67"/>
      <c r="CJ345" s="67"/>
      <c r="CK345" s="67"/>
      <c r="CL345" s="67"/>
      <c r="CM345" s="67"/>
      <c r="CN345" s="67"/>
      <c r="CO345" s="67"/>
      <c r="CP345" s="67"/>
      <c r="CQ345" s="67"/>
      <c r="CR345" s="67"/>
      <c r="CS345" s="67"/>
      <c r="CT345" s="67"/>
      <c r="CU345" s="67"/>
      <c r="CV345" s="67"/>
      <c r="CW345" s="67"/>
      <c r="CX345" s="67"/>
      <c r="CY345" s="67"/>
      <c r="CZ345" s="67"/>
      <c r="DA345" s="67"/>
      <c r="DB345" s="67"/>
      <c r="DC345" s="67"/>
      <c r="DD345" s="67"/>
      <c r="DE345" s="67"/>
      <c r="DF345" s="67"/>
      <c r="DG345" s="67"/>
      <c r="DH345" s="67"/>
      <c r="DI345" s="67"/>
      <c r="DJ345" s="67"/>
      <c r="DK345" s="67"/>
      <c r="DL345" s="67"/>
      <c r="DM345" s="67"/>
      <c r="DN345" s="67"/>
      <c r="DO345" s="67"/>
      <c r="DP345" s="67"/>
      <c r="DQ345" s="67"/>
      <c r="DR345" s="67"/>
      <c r="DS345" s="67"/>
      <c r="DT345" s="67"/>
      <c r="DU345" s="67"/>
    </row>
    <row r="346" spans="1:125" x14ac:dyDescent="0.25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  <c r="AA346" s="67"/>
      <c r="AB346" s="67"/>
      <c r="AC346" s="67"/>
      <c r="AD346" s="67"/>
      <c r="AE346" s="67"/>
      <c r="AF346" s="67"/>
      <c r="AG346" s="67"/>
      <c r="AH346" s="67"/>
      <c r="AI346" s="67"/>
      <c r="AJ346" s="67"/>
      <c r="AK346" s="67"/>
      <c r="AL346" s="67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  <c r="AX346" s="67"/>
      <c r="AY346" s="67"/>
      <c r="AZ346" s="67"/>
      <c r="BA346" s="67"/>
      <c r="BB346" s="67"/>
      <c r="BC346" s="67"/>
      <c r="BD346" s="67"/>
      <c r="BE346" s="67"/>
      <c r="BF346" s="67"/>
      <c r="BG346" s="67"/>
      <c r="BH346" s="67"/>
      <c r="BI346" s="67"/>
      <c r="BJ346" s="67"/>
      <c r="BK346" s="67"/>
      <c r="BL346" s="67"/>
      <c r="BM346" s="67"/>
      <c r="BN346" s="67"/>
      <c r="BO346" s="67"/>
      <c r="BP346" s="67"/>
      <c r="BQ346" s="67"/>
      <c r="BR346" s="67"/>
      <c r="BS346" s="67"/>
      <c r="BT346" s="67"/>
      <c r="BU346" s="67"/>
      <c r="BV346" s="67"/>
      <c r="BW346" s="67"/>
      <c r="BX346" s="67"/>
      <c r="BY346" s="67"/>
      <c r="BZ346" s="67"/>
      <c r="CA346" s="67"/>
      <c r="CB346" s="67"/>
      <c r="CC346" s="67"/>
      <c r="CD346" s="67"/>
      <c r="CE346" s="67"/>
      <c r="CF346" s="67"/>
      <c r="CG346" s="67"/>
      <c r="CH346" s="67"/>
      <c r="CI346" s="67"/>
      <c r="CJ346" s="67"/>
      <c r="CK346" s="67"/>
      <c r="CL346" s="67"/>
      <c r="CM346" s="67"/>
      <c r="CN346" s="67"/>
      <c r="CO346" s="67"/>
      <c r="CP346" s="67"/>
      <c r="CQ346" s="67"/>
      <c r="CR346" s="67"/>
      <c r="CS346" s="67"/>
      <c r="CT346" s="67"/>
      <c r="CU346" s="67"/>
      <c r="CV346" s="67"/>
      <c r="CW346" s="67"/>
      <c r="CX346" s="67"/>
      <c r="CY346" s="67"/>
      <c r="CZ346" s="67"/>
      <c r="DA346" s="67"/>
      <c r="DB346" s="67"/>
      <c r="DC346" s="67"/>
      <c r="DD346" s="67"/>
      <c r="DE346" s="67"/>
      <c r="DF346" s="67"/>
      <c r="DG346" s="67"/>
      <c r="DH346" s="67"/>
      <c r="DI346" s="67"/>
      <c r="DJ346" s="67"/>
      <c r="DK346" s="67"/>
      <c r="DL346" s="67"/>
      <c r="DM346" s="67"/>
      <c r="DN346" s="67"/>
      <c r="DO346" s="67"/>
      <c r="DP346" s="67"/>
      <c r="DQ346" s="67"/>
      <c r="DR346" s="67"/>
      <c r="DS346" s="67"/>
      <c r="DT346" s="67"/>
      <c r="DU346" s="67"/>
    </row>
    <row r="347" spans="1:125" x14ac:dyDescent="0.25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  <c r="AA347" s="67"/>
      <c r="AB347" s="67"/>
      <c r="AC347" s="67"/>
      <c r="AD347" s="67"/>
      <c r="AE347" s="67"/>
      <c r="AF347" s="67"/>
      <c r="AG347" s="67"/>
      <c r="AH347" s="67"/>
      <c r="AI347" s="67"/>
      <c r="AJ347" s="67"/>
      <c r="AK347" s="67"/>
      <c r="AL347" s="67"/>
      <c r="AM347" s="67"/>
      <c r="AN347" s="67"/>
      <c r="AO347" s="67"/>
      <c r="AP347" s="67"/>
      <c r="AQ347" s="67"/>
      <c r="AR347" s="67"/>
      <c r="AS347" s="67"/>
      <c r="AT347" s="67"/>
      <c r="AU347" s="67"/>
      <c r="AV347" s="67"/>
      <c r="AW347" s="67"/>
      <c r="AX347" s="67"/>
      <c r="AY347" s="67"/>
      <c r="AZ347" s="67"/>
      <c r="BA347" s="67"/>
      <c r="BB347" s="67"/>
      <c r="BC347" s="67"/>
      <c r="BD347" s="67"/>
      <c r="BE347" s="67"/>
      <c r="BF347" s="67"/>
      <c r="BG347" s="67"/>
      <c r="BH347" s="67"/>
      <c r="BI347" s="67"/>
      <c r="BJ347" s="67"/>
      <c r="BK347" s="67"/>
      <c r="BL347" s="67"/>
      <c r="BM347" s="67"/>
      <c r="BN347" s="67"/>
      <c r="BO347" s="67"/>
      <c r="BP347" s="67"/>
      <c r="BQ347" s="67"/>
      <c r="BR347" s="67"/>
      <c r="BS347" s="67"/>
      <c r="BT347" s="67"/>
      <c r="BU347" s="67"/>
      <c r="BV347" s="67"/>
      <c r="BW347" s="67"/>
      <c r="BX347" s="67"/>
      <c r="BY347" s="67"/>
      <c r="BZ347" s="67"/>
      <c r="CA347" s="67"/>
      <c r="CB347" s="67"/>
      <c r="CC347" s="67"/>
      <c r="CD347" s="67"/>
      <c r="CE347" s="67"/>
      <c r="CF347" s="67"/>
      <c r="CG347" s="67"/>
      <c r="CH347" s="67"/>
      <c r="CI347" s="67"/>
      <c r="CJ347" s="67"/>
      <c r="CK347" s="67"/>
      <c r="CL347" s="67"/>
      <c r="CM347" s="67"/>
      <c r="CN347" s="67"/>
      <c r="CO347" s="67"/>
      <c r="CP347" s="67"/>
      <c r="CQ347" s="67"/>
      <c r="CR347" s="67"/>
      <c r="CS347" s="67"/>
      <c r="CT347" s="67"/>
      <c r="CU347" s="67"/>
      <c r="CV347" s="67"/>
      <c r="CW347" s="67"/>
      <c r="CX347" s="67"/>
      <c r="CY347" s="67"/>
      <c r="CZ347" s="67"/>
      <c r="DA347" s="67"/>
      <c r="DB347" s="67"/>
      <c r="DC347" s="67"/>
      <c r="DD347" s="67"/>
      <c r="DE347" s="67"/>
      <c r="DF347" s="67"/>
      <c r="DG347" s="67"/>
      <c r="DH347" s="67"/>
      <c r="DI347" s="67"/>
      <c r="DJ347" s="67"/>
      <c r="DK347" s="67"/>
      <c r="DL347" s="67"/>
      <c r="DM347" s="67"/>
      <c r="DN347" s="67"/>
      <c r="DO347" s="67"/>
      <c r="DP347" s="67"/>
      <c r="DQ347" s="67"/>
      <c r="DR347" s="67"/>
      <c r="DS347" s="67"/>
      <c r="DT347" s="67"/>
      <c r="DU347" s="67"/>
    </row>
    <row r="348" spans="1:125" x14ac:dyDescent="0.25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  <c r="AF348" s="67"/>
      <c r="AG348" s="67"/>
      <c r="AH348" s="67"/>
      <c r="AI348" s="67"/>
      <c r="AJ348" s="67"/>
      <c r="AK348" s="67"/>
      <c r="AL348" s="67"/>
      <c r="AM348" s="67"/>
      <c r="AN348" s="67"/>
      <c r="AO348" s="67"/>
      <c r="AP348" s="67"/>
      <c r="AQ348" s="67"/>
      <c r="AR348" s="67"/>
      <c r="AS348" s="67"/>
      <c r="AT348" s="67"/>
      <c r="AU348" s="67"/>
      <c r="AV348" s="67"/>
      <c r="AW348" s="67"/>
      <c r="AX348" s="67"/>
      <c r="AY348" s="67"/>
      <c r="AZ348" s="67"/>
      <c r="BA348" s="67"/>
      <c r="BB348" s="67"/>
      <c r="BC348" s="67"/>
      <c r="BD348" s="67"/>
      <c r="BE348" s="67"/>
      <c r="BF348" s="67"/>
      <c r="BG348" s="67"/>
      <c r="BH348" s="67"/>
      <c r="BI348" s="67"/>
      <c r="BJ348" s="67"/>
      <c r="BK348" s="67"/>
      <c r="BL348" s="67"/>
      <c r="BM348" s="67"/>
      <c r="BN348" s="67"/>
      <c r="BO348" s="67"/>
      <c r="BP348" s="67"/>
      <c r="BQ348" s="67"/>
      <c r="BR348" s="67"/>
      <c r="BS348" s="67"/>
      <c r="BT348" s="67"/>
      <c r="BU348" s="67"/>
      <c r="BV348" s="67"/>
      <c r="BW348" s="67"/>
      <c r="BX348" s="67"/>
      <c r="BY348" s="67"/>
      <c r="BZ348" s="67"/>
      <c r="CA348" s="67"/>
      <c r="CB348" s="67"/>
      <c r="CC348" s="67"/>
      <c r="CD348" s="67"/>
      <c r="CE348" s="67"/>
      <c r="CF348" s="67"/>
      <c r="CG348" s="67"/>
      <c r="CH348" s="67"/>
      <c r="CI348" s="67"/>
      <c r="CJ348" s="67"/>
      <c r="CK348" s="67"/>
      <c r="CL348" s="67"/>
      <c r="CM348" s="67"/>
      <c r="CN348" s="67"/>
      <c r="CO348" s="67"/>
      <c r="CP348" s="67"/>
      <c r="CQ348" s="67"/>
      <c r="CR348" s="67"/>
      <c r="CS348" s="67"/>
      <c r="CT348" s="67"/>
      <c r="CU348" s="67"/>
      <c r="CV348" s="67"/>
      <c r="CW348" s="67"/>
      <c r="CX348" s="67"/>
      <c r="CY348" s="67"/>
      <c r="CZ348" s="67"/>
      <c r="DA348" s="67"/>
      <c r="DB348" s="67"/>
      <c r="DC348" s="67"/>
      <c r="DD348" s="67"/>
      <c r="DE348" s="67"/>
      <c r="DF348" s="67"/>
      <c r="DG348" s="67"/>
      <c r="DH348" s="67"/>
      <c r="DI348" s="67"/>
      <c r="DJ348" s="67"/>
      <c r="DK348" s="67"/>
      <c r="DL348" s="67"/>
      <c r="DM348" s="67"/>
      <c r="DN348" s="67"/>
      <c r="DO348" s="67"/>
      <c r="DP348" s="67"/>
      <c r="DQ348" s="67"/>
      <c r="DR348" s="67"/>
      <c r="DS348" s="67"/>
      <c r="DT348" s="67"/>
      <c r="DU348" s="67"/>
    </row>
    <row r="349" spans="1:125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  <c r="AF349" s="67"/>
      <c r="AG349" s="67"/>
      <c r="AH349" s="67"/>
      <c r="AI349" s="67"/>
      <c r="AJ349" s="67"/>
      <c r="AK349" s="67"/>
      <c r="AL349" s="67"/>
      <c r="AM349" s="67"/>
      <c r="AN349" s="67"/>
      <c r="AO349" s="67"/>
      <c r="AP349" s="67"/>
      <c r="AQ349" s="67"/>
      <c r="AR349" s="67"/>
      <c r="AS349" s="67"/>
      <c r="AT349" s="67"/>
      <c r="AU349" s="67"/>
      <c r="AV349" s="67"/>
      <c r="AW349" s="67"/>
      <c r="AX349" s="67"/>
      <c r="AY349" s="67"/>
      <c r="AZ349" s="67"/>
      <c r="BA349" s="67"/>
      <c r="BB349" s="67"/>
      <c r="BC349" s="67"/>
      <c r="BD349" s="67"/>
      <c r="BE349" s="67"/>
      <c r="BF349" s="67"/>
      <c r="BG349" s="67"/>
      <c r="BH349" s="67"/>
      <c r="BI349" s="67"/>
      <c r="BJ349" s="67"/>
      <c r="BK349" s="67"/>
      <c r="BL349" s="67"/>
      <c r="BM349" s="67"/>
      <c r="BN349" s="67"/>
      <c r="BO349" s="67"/>
      <c r="BP349" s="67"/>
      <c r="BQ349" s="67"/>
      <c r="BR349" s="67"/>
      <c r="BS349" s="67"/>
      <c r="BT349" s="67"/>
      <c r="BU349" s="67"/>
      <c r="BV349" s="67"/>
      <c r="BW349" s="67"/>
      <c r="BX349" s="67"/>
      <c r="BY349" s="67"/>
      <c r="BZ349" s="67"/>
      <c r="CA349" s="67"/>
      <c r="CB349" s="67"/>
      <c r="CC349" s="67"/>
      <c r="CD349" s="67"/>
      <c r="CE349" s="67"/>
      <c r="CF349" s="67"/>
      <c r="CG349" s="67"/>
      <c r="CH349" s="67"/>
      <c r="CI349" s="67"/>
      <c r="CJ349" s="67"/>
      <c r="CK349" s="67"/>
      <c r="CL349" s="67"/>
      <c r="CM349" s="67"/>
      <c r="CN349" s="67"/>
      <c r="CO349" s="67"/>
      <c r="CP349" s="67"/>
      <c r="CQ349" s="67"/>
      <c r="CR349" s="67"/>
      <c r="CS349" s="67"/>
      <c r="CT349" s="67"/>
      <c r="CU349" s="67"/>
      <c r="CV349" s="67"/>
      <c r="CW349" s="67"/>
      <c r="CX349" s="67"/>
      <c r="CY349" s="67"/>
      <c r="CZ349" s="67"/>
      <c r="DA349" s="67"/>
      <c r="DB349" s="67"/>
      <c r="DC349" s="67"/>
      <c r="DD349" s="67"/>
      <c r="DE349" s="67"/>
      <c r="DF349" s="67"/>
      <c r="DG349" s="67"/>
      <c r="DH349" s="67"/>
      <c r="DI349" s="67"/>
      <c r="DJ349" s="67"/>
      <c r="DK349" s="67"/>
      <c r="DL349" s="67"/>
      <c r="DM349" s="67"/>
      <c r="DN349" s="67"/>
      <c r="DO349" s="67"/>
      <c r="DP349" s="67"/>
      <c r="DQ349" s="67"/>
      <c r="DR349" s="67"/>
      <c r="DS349" s="67"/>
      <c r="DT349" s="67"/>
      <c r="DU349" s="67"/>
    </row>
    <row r="350" spans="1:125" x14ac:dyDescent="0.25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  <c r="AF350" s="67"/>
      <c r="AG350" s="67"/>
      <c r="AH350" s="67"/>
      <c r="AI350" s="67"/>
      <c r="AJ350" s="67"/>
      <c r="AK350" s="67"/>
      <c r="AL350" s="67"/>
      <c r="AM350" s="67"/>
      <c r="AN350" s="67"/>
      <c r="AO350" s="67"/>
      <c r="AP350" s="67"/>
      <c r="AQ350" s="67"/>
      <c r="AR350" s="67"/>
      <c r="AS350" s="67"/>
      <c r="AT350" s="67"/>
      <c r="AU350" s="67"/>
      <c r="AV350" s="67"/>
      <c r="AW350" s="67"/>
      <c r="AX350" s="67"/>
      <c r="AY350" s="67"/>
      <c r="AZ350" s="67"/>
      <c r="BA350" s="67"/>
      <c r="BB350" s="67"/>
      <c r="BC350" s="67"/>
      <c r="BD350" s="67"/>
      <c r="BE350" s="67"/>
      <c r="BF350" s="67"/>
      <c r="BG350" s="67"/>
      <c r="BH350" s="67"/>
      <c r="BI350" s="67"/>
      <c r="BJ350" s="67"/>
      <c r="BK350" s="67"/>
      <c r="BL350" s="67"/>
      <c r="BM350" s="67"/>
      <c r="BN350" s="67"/>
      <c r="BO350" s="67"/>
      <c r="BP350" s="67"/>
      <c r="BQ350" s="67"/>
      <c r="BR350" s="67"/>
      <c r="BS350" s="67"/>
      <c r="BT350" s="67"/>
      <c r="BU350" s="67"/>
      <c r="BV350" s="67"/>
      <c r="BW350" s="67"/>
      <c r="BX350" s="67"/>
      <c r="BY350" s="67"/>
      <c r="BZ350" s="67"/>
      <c r="CA350" s="67"/>
      <c r="CB350" s="67"/>
      <c r="CC350" s="67"/>
      <c r="CD350" s="67"/>
      <c r="CE350" s="67"/>
      <c r="CF350" s="67"/>
      <c r="CG350" s="67"/>
      <c r="CH350" s="67"/>
      <c r="CI350" s="67"/>
      <c r="CJ350" s="67"/>
      <c r="CK350" s="67"/>
      <c r="CL350" s="67"/>
      <c r="CM350" s="67"/>
      <c r="CN350" s="67"/>
      <c r="CO350" s="67"/>
      <c r="CP350" s="67"/>
      <c r="CQ350" s="67"/>
      <c r="CR350" s="67"/>
      <c r="CS350" s="67"/>
      <c r="CT350" s="67"/>
      <c r="CU350" s="67"/>
      <c r="CV350" s="67"/>
      <c r="CW350" s="67"/>
      <c r="CX350" s="67"/>
      <c r="CY350" s="67"/>
      <c r="CZ350" s="67"/>
      <c r="DA350" s="67"/>
      <c r="DB350" s="67"/>
      <c r="DC350" s="67"/>
      <c r="DD350" s="67"/>
      <c r="DE350" s="67"/>
      <c r="DF350" s="67"/>
      <c r="DG350" s="67"/>
      <c r="DH350" s="67"/>
      <c r="DI350" s="67"/>
      <c r="DJ350" s="67"/>
      <c r="DK350" s="67"/>
      <c r="DL350" s="67"/>
      <c r="DM350" s="67"/>
      <c r="DN350" s="67"/>
      <c r="DO350" s="67"/>
      <c r="DP350" s="67"/>
      <c r="DQ350" s="67"/>
      <c r="DR350" s="67"/>
      <c r="DS350" s="67"/>
      <c r="DT350" s="67"/>
      <c r="DU350" s="67"/>
    </row>
    <row r="351" spans="1:125" x14ac:dyDescent="0.25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  <c r="AF351" s="67"/>
      <c r="AG351" s="67"/>
      <c r="AH351" s="67"/>
      <c r="AI351" s="67"/>
      <c r="AJ351" s="67"/>
      <c r="AK351" s="67"/>
      <c r="AL351" s="67"/>
      <c r="AM351" s="67"/>
      <c r="AN351" s="67"/>
      <c r="AO351" s="67"/>
      <c r="AP351" s="67"/>
      <c r="AQ351" s="67"/>
      <c r="AR351" s="67"/>
      <c r="AS351" s="67"/>
      <c r="AT351" s="67"/>
      <c r="AU351" s="67"/>
      <c r="AV351" s="67"/>
      <c r="AW351" s="67"/>
      <c r="AX351" s="67"/>
      <c r="AY351" s="67"/>
      <c r="AZ351" s="67"/>
      <c r="BA351" s="67"/>
      <c r="BB351" s="67"/>
      <c r="BC351" s="67"/>
      <c r="BD351" s="67"/>
      <c r="BE351" s="67"/>
      <c r="BF351" s="67"/>
      <c r="BG351" s="67"/>
      <c r="BH351" s="67"/>
      <c r="BI351" s="67"/>
      <c r="BJ351" s="67"/>
      <c r="BK351" s="67"/>
      <c r="BL351" s="67"/>
      <c r="BM351" s="67"/>
      <c r="BN351" s="67"/>
      <c r="BO351" s="67"/>
      <c r="BP351" s="67"/>
      <c r="BQ351" s="67"/>
      <c r="BR351" s="67"/>
      <c r="BS351" s="67"/>
      <c r="BT351" s="67"/>
      <c r="BU351" s="67"/>
      <c r="BV351" s="67"/>
      <c r="BW351" s="67"/>
      <c r="BX351" s="67"/>
      <c r="BY351" s="67"/>
      <c r="BZ351" s="67"/>
      <c r="CA351" s="67"/>
      <c r="CB351" s="67"/>
      <c r="CC351" s="67"/>
      <c r="CD351" s="67"/>
      <c r="CE351" s="67"/>
      <c r="CF351" s="67"/>
      <c r="CG351" s="67"/>
      <c r="CH351" s="67"/>
      <c r="CI351" s="67"/>
      <c r="CJ351" s="67"/>
      <c r="CK351" s="67"/>
      <c r="CL351" s="67"/>
      <c r="CM351" s="67"/>
      <c r="CN351" s="67"/>
      <c r="CO351" s="67"/>
      <c r="CP351" s="67"/>
      <c r="CQ351" s="67"/>
      <c r="CR351" s="67"/>
      <c r="CS351" s="67"/>
      <c r="CT351" s="67"/>
      <c r="CU351" s="67"/>
      <c r="CV351" s="67"/>
      <c r="CW351" s="67"/>
      <c r="CX351" s="67"/>
      <c r="CY351" s="67"/>
      <c r="CZ351" s="67"/>
      <c r="DA351" s="67"/>
      <c r="DB351" s="67"/>
      <c r="DC351" s="67"/>
      <c r="DD351" s="67"/>
      <c r="DE351" s="67"/>
      <c r="DF351" s="67"/>
      <c r="DG351" s="67"/>
      <c r="DH351" s="67"/>
      <c r="DI351" s="67"/>
      <c r="DJ351" s="67"/>
      <c r="DK351" s="67"/>
      <c r="DL351" s="67"/>
      <c r="DM351" s="67"/>
      <c r="DN351" s="67"/>
      <c r="DO351" s="67"/>
      <c r="DP351" s="67"/>
      <c r="DQ351" s="67"/>
      <c r="DR351" s="67"/>
      <c r="DS351" s="67"/>
      <c r="DT351" s="67"/>
      <c r="DU351" s="67"/>
    </row>
    <row r="352" spans="1:125" x14ac:dyDescent="0.25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  <c r="AF352" s="67"/>
      <c r="AG352" s="67"/>
      <c r="AH352" s="67"/>
      <c r="AI352" s="67"/>
      <c r="AJ352" s="67"/>
      <c r="AK352" s="67"/>
      <c r="AL352" s="67"/>
      <c r="AM352" s="67"/>
      <c r="AN352" s="67"/>
      <c r="AO352" s="67"/>
      <c r="AP352" s="67"/>
      <c r="AQ352" s="67"/>
      <c r="AR352" s="67"/>
      <c r="AS352" s="67"/>
      <c r="AT352" s="67"/>
      <c r="AU352" s="67"/>
      <c r="AV352" s="67"/>
      <c r="AW352" s="67"/>
      <c r="AX352" s="67"/>
      <c r="AY352" s="67"/>
      <c r="AZ352" s="67"/>
      <c r="BA352" s="67"/>
      <c r="BB352" s="67"/>
      <c r="BC352" s="67"/>
      <c r="BD352" s="67"/>
      <c r="BE352" s="67"/>
      <c r="BF352" s="67"/>
      <c r="BG352" s="67"/>
      <c r="BH352" s="67"/>
      <c r="BI352" s="67"/>
      <c r="BJ352" s="67"/>
      <c r="BK352" s="67"/>
      <c r="BL352" s="67"/>
      <c r="BM352" s="67"/>
      <c r="BN352" s="67"/>
      <c r="BO352" s="67"/>
      <c r="BP352" s="67"/>
      <c r="BQ352" s="67"/>
      <c r="BR352" s="67"/>
      <c r="BS352" s="67"/>
      <c r="BT352" s="67"/>
      <c r="BU352" s="67"/>
      <c r="BV352" s="67"/>
      <c r="BW352" s="67"/>
      <c r="BX352" s="67"/>
      <c r="BY352" s="67"/>
      <c r="BZ352" s="67"/>
      <c r="CA352" s="67"/>
      <c r="CB352" s="67"/>
      <c r="CC352" s="67"/>
      <c r="CD352" s="67"/>
      <c r="CE352" s="67"/>
      <c r="CF352" s="67"/>
      <c r="CG352" s="67"/>
      <c r="CH352" s="67"/>
      <c r="CI352" s="67"/>
      <c r="CJ352" s="67"/>
      <c r="CK352" s="67"/>
      <c r="CL352" s="67"/>
      <c r="CM352" s="67"/>
      <c r="CN352" s="67"/>
      <c r="CO352" s="67"/>
      <c r="CP352" s="67"/>
      <c r="CQ352" s="67"/>
      <c r="CR352" s="67"/>
      <c r="CS352" s="67"/>
      <c r="CT352" s="67"/>
      <c r="CU352" s="67"/>
      <c r="CV352" s="67"/>
      <c r="CW352" s="67"/>
      <c r="CX352" s="67"/>
      <c r="CY352" s="67"/>
      <c r="CZ352" s="67"/>
      <c r="DA352" s="67"/>
      <c r="DB352" s="67"/>
      <c r="DC352" s="67"/>
      <c r="DD352" s="67"/>
      <c r="DE352" s="67"/>
      <c r="DF352" s="67"/>
      <c r="DG352" s="67"/>
      <c r="DH352" s="67"/>
      <c r="DI352" s="67"/>
      <c r="DJ352" s="67"/>
      <c r="DK352" s="67"/>
      <c r="DL352" s="67"/>
      <c r="DM352" s="67"/>
      <c r="DN352" s="67"/>
      <c r="DO352" s="67"/>
      <c r="DP352" s="67"/>
      <c r="DQ352" s="67"/>
      <c r="DR352" s="67"/>
      <c r="DS352" s="67"/>
      <c r="DT352" s="67"/>
      <c r="DU352" s="67"/>
    </row>
    <row r="353" spans="1:125" x14ac:dyDescent="0.25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7"/>
      <c r="AT353" s="67"/>
      <c r="AU353" s="67"/>
      <c r="AV353" s="67"/>
      <c r="AW353" s="67"/>
      <c r="AX353" s="67"/>
      <c r="AY353" s="67"/>
      <c r="AZ353" s="67"/>
      <c r="BA353" s="67"/>
      <c r="BB353" s="67"/>
      <c r="BC353" s="67"/>
      <c r="BD353" s="67"/>
      <c r="BE353" s="67"/>
      <c r="BF353" s="67"/>
      <c r="BG353" s="67"/>
      <c r="BH353" s="67"/>
      <c r="BI353" s="67"/>
      <c r="BJ353" s="67"/>
      <c r="BK353" s="67"/>
      <c r="BL353" s="67"/>
      <c r="BM353" s="67"/>
      <c r="BN353" s="67"/>
      <c r="BO353" s="67"/>
      <c r="BP353" s="67"/>
      <c r="BQ353" s="67"/>
      <c r="BR353" s="67"/>
      <c r="BS353" s="67"/>
      <c r="BT353" s="67"/>
      <c r="BU353" s="67"/>
      <c r="BV353" s="67"/>
      <c r="BW353" s="67"/>
      <c r="BX353" s="67"/>
      <c r="BY353" s="67"/>
      <c r="BZ353" s="67"/>
      <c r="CA353" s="67"/>
      <c r="CB353" s="67"/>
      <c r="CC353" s="67"/>
      <c r="CD353" s="67"/>
      <c r="CE353" s="67"/>
      <c r="CF353" s="67"/>
      <c r="CG353" s="67"/>
      <c r="CH353" s="67"/>
      <c r="CI353" s="67"/>
      <c r="CJ353" s="67"/>
      <c r="CK353" s="67"/>
      <c r="CL353" s="67"/>
      <c r="CM353" s="67"/>
      <c r="CN353" s="67"/>
      <c r="CO353" s="67"/>
      <c r="CP353" s="67"/>
      <c r="CQ353" s="67"/>
      <c r="CR353" s="67"/>
      <c r="CS353" s="67"/>
      <c r="CT353" s="67"/>
      <c r="CU353" s="67"/>
      <c r="CV353" s="67"/>
      <c r="CW353" s="67"/>
      <c r="CX353" s="67"/>
      <c r="CY353" s="67"/>
      <c r="CZ353" s="67"/>
      <c r="DA353" s="67"/>
      <c r="DB353" s="67"/>
      <c r="DC353" s="67"/>
      <c r="DD353" s="67"/>
      <c r="DE353" s="67"/>
      <c r="DF353" s="67"/>
      <c r="DG353" s="67"/>
      <c r="DH353" s="67"/>
      <c r="DI353" s="67"/>
      <c r="DJ353" s="67"/>
      <c r="DK353" s="67"/>
      <c r="DL353" s="67"/>
      <c r="DM353" s="67"/>
      <c r="DN353" s="67"/>
      <c r="DO353" s="67"/>
      <c r="DP353" s="67"/>
      <c r="DQ353" s="67"/>
      <c r="DR353" s="67"/>
      <c r="DS353" s="67"/>
      <c r="DT353" s="67"/>
      <c r="DU353" s="67"/>
    </row>
    <row r="354" spans="1:125" x14ac:dyDescent="0.25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  <c r="AF354" s="67"/>
      <c r="AG354" s="67"/>
      <c r="AH354" s="67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7"/>
      <c r="AT354" s="67"/>
      <c r="AU354" s="67"/>
      <c r="AV354" s="67"/>
      <c r="AW354" s="67"/>
      <c r="AX354" s="67"/>
      <c r="AY354" s="67"/>
      <c r="AZ354" s="67"/>
      <c r="BA354" s="67"/>
      <c r="BB354" s="67"/>
      <c r="BC354" s="67"/>
      <c r="BD354" s="67"/>
      <c r="BE354" s="67"/>
      <c r="BF354" s="67"/>
      <c r="BG354" s="67"/>
      <c r="BH354" s="67"/>
      <c r="BI354" s="67"/>
      <c r="BJ354" s="67"/>
      <c r="BK354" s="67"/>
      <c r="BL354" s="67"/>
      <c r="BM354" s="67"/>
      <c r="BN354" s="67"/>
      <c r="BO354" s="67"/>
      <c r="BP354" s="67"/>
      <c r="BQ354" s="67"/>
      <c r="BR354" s="67"/>
      <c r="BS354" s="67"/>
      <c r="BT354" s="67"/>
      <c r="BU354" s="67"/>
      <c r="BV354" s="67"/>
      <c r="BW354" s="67"/>
      <c r="BX354" s="67"/>
      <c r="BY354" s="67"/>
      <c r="BZ354" s="67"/>
      <c r="CA354" s="67"/>
      <c r="CB354" s="67"/>
      <c r="CC354" s="67"/>
      <c r="CD354" s="67"/>
      <c r="CE354" s="67"/>
      <c r="CF354" s="67"/>
      <c r="CG354" s="67"/>
      <c r="CH354" s="67"/>
      <c r="CI354" s="67"/>
      <c r="CJ354" s="67"/>
      <c r="CK354" s="67"/>
      <c r="CL354" s="67"/>
      <c r="CM354" s="67"/>
      <c r="CN354" s="67"/>
      <c r="CO354" s="67"/>
      <c r="CP354" s="67"/>
      <c r="CQ354" s="67"/>
      <c r="CR354" s="67"/>
      <c r="CS354" s="67"/>
      <c r="CT354" s="67"/>
      <c r="CU354" s="67"/>
      <c r="CV354" s="67"/>
      <c r="CW354" s="67"/>
      <c r="CX354" s="67"/>
      <c r="CY354" s="67"/>
      <c r="CZ354" s="67"/>
      <c r="DA354" s="67"/>
      <c r="DB354" s="67"/>
      <c r="DC354" s="67"/>
      <c r="DD354" s="67"/>
      <c r="DE354" s="67"/>
      <c r="DF354" s="67"/>
      <c r="DG354" s="67"/>
      <c r="DH354" s="67"/>
      <c r="DI354" s="67"/>
      <c r="DJ354" s="67"/>
      <c r="DK354" s="67"/>
      <c r="DL354" s="67"/>
      <c r="DM354" s="67"/>
      <c r="DN354" s="67"/>
      <c r="DO354" s="67"/>
      <c r="DP354" s="67"/>
      <c r="DQ354" s="67"/>
      <c r="DR354" s="67"/>
      <c r="DS354" s="67"/>
      <c r="DT354" s="67"/>
      <c r="DU354" s="67"/>
    </row>
    <row r="355" spans="1:125" x14ac:dyDescent="0.25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  <c r="AF355" s="67"/>
      <c r="AG355" s="67"/>
      <c r="AH355" s="67"/>
      <c r="AI355" s="67"/>
      <c r="AJ355" s="67"/>
      <c r="AK355" s="67"/>
      <c r="AL355" s="67"/>
      <c r="AM355" s="67"/>
      <c r="AN355" s="67"/>
      <c r="AO355" s="67"/>
      <c r="AP355" s="67"/>
      <c r="AQ355" s="67"/>
      <c r="AR355" s="67"/>
      <c r="AS355" s="67"/>
      <c r="AT355" s="67"/>
      <c r="AU355" s="67"/>
      <c r="AV355" s="67"/>
      <c r="AW355" s="67"/>
      <c r="AX355" s="67"/>
      <c r="AY355" s="67"/>
      <c r="AZ355" s="67"/>
      <c r="BA355" s="67"/>
      <c r="BB355" s="67"/>
      <c r="BC355" s="67"/>
      <c r="BD355" s="67"/>
      <c r="BE355" s="67"/>
      <c r="BF355" s="67"/>
      <c r="BG355" s="67"/>
      <c r="BH355" s="67"/>
      <c r="BI355" s="67"/>
      <c r="BJ355" s="67"/>
      <c r="BK355" s="67"/>
      <c r="BL355" s="67"/>
      <c r="BM355" s="67"/>
      <c r="BN355" s="67"/>
      <c r="BO355" s="67"/>
      <c r="BP355" s="67"/>
      <c r="BQ355" s="67"/>
      <c r="BR355" s="67"/>
      <c r="BS355" s="67"/>
      <c r="BT355" s="67"/>
      <c r="BU355" s="67"/>
      <c r="BV355" s="67"/>
      <c r="BW355" s="67"/>
      <c r="BX355" s="67"/>
      <c r="BY355" s="67"/>
      <c r="BZ355" s="67"/>
      <c r="CA355" s="67"/>
      <c r="CB355" s="67"/>
      <c r="CC355" s="67"/>
      <c r="CD355" s="67"/>
      <c r="CE355" s="67"/>
      <c r="CF355" s="67"/>
      <c r="CG355" s="67"/>
      <c r="CH355" s="67"/>
      <c r="CI355" s="67"/>
      <c r="CJ355" s="67"/>
      <c r="CK355" s="67"/>
      <c r="CL355" s="67"/>
      <c r="CM355" s="67"/>
      <c r="CN355" s="67"/>
      <c r="CO355" s="67"/>
      <c r="CP355" s="67"/>
      <c r="CQ355" s="67"/>
      <c r="CR355" s="67"/>
      <c r="CS355" s="67"/>
      <c r="CT355" s="67"/>
      <c r="CU355" s="67"/>
      <c r="CV355" s="67"/>
      <c r="CW355" s="67"/>
      <c r="CX355" s="67"/>
      <c r="CY355" s="67"/>
      <c r="CZ355" s="67"/>
      <c r="DA355" s="67"/>
      <c r="DB355" s="67"/>
      <c r="DC355" s="67"/>
      <c r="DD355" s="67"/>
      <c r="DE355" s="67"/>
      <c r="DF355" s="67"/>
      <c r="DG355" s="67"/>
      <c r="DH355" s="67"/>
      <c r="DI355" s="67"/>
      <c r="DJ355" s="67"/>
      <c r="DK355" s="67"/>
      <c r="DL355" s="67"/>
      <c r="DM355" s="67"/>
      <c r="DN355" s="67"/>
      <c r="DO355" s="67"/>
      <c r="DP355" s="67"/>
      <c r="DQ355" s="67"/>
      <c r="DR355" s="67"/>
      <c r="DS355" s="67"/>
      <c r="DT355" s="67"/>
      <c r="DU355" s="67"/>
    </row>
    <row r="356" spans="1:125" x14ac:dyDescent="0.25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  <c r="AF356" s="67"/>
      <c r="AG356" s="67"/>
      <c r="AH356" s="67"/>
      <c r="AI356" s="67"/>
      <c r="AJ356" s="67"/>
      <c r="AK356" s="67"/>
      <c r="AL356" s="67"/>
      <c r="AM356" s="67"/>
      <c r="AN356" s="67"/>
      <c r="AO356" s="67"/>
      <c r="AP356" s="67"/>
      <c r="AQ356" s="67"/>
      <c r="AR356" s="67"/>
      <c r="AS356" s="67"/>
      <c r="AT356" s="67"/>
      <c r="AU356" s="67"/>
      <c r="AV356" s="67"/>
      <c r="AW356" s="67"/>
      <c r="AX356" s="67"/>
      <c r="AY356" s="67"/>
      <c r="AZ356" s="67"/>
      <c r="BA356" s="67"/>
      <c r="BB356" s="67"/>
      <c r="BC356" s="67"/>
      <c r="BD356" s="67"/>
      <c r="BE356" s="67"/>
      <c r="BF356" s="67"/>
      <c r="BG356" s="67"/>
      <c r="BH356" s="67"/>
      <c r="BI356" s="67"/>
      <c r="BJ356" s="67"/>
      <c r="BK356" s="67"/>
      <c r="BL356" s="67"/>
      <c r="BM356" s="67"/>
      <c r="BN356" s="67"/>
      <c r="BO356" s="67"/>
      <c r="BP356" s="67"/>
      <c r="BQ356" s="67"/>
      <c r="BR356" s="67"/>
      <c r="BS356" s="67"/>
      <c r="BT356" s="67"/>
      <c r="BU356" s="67"/>
      <c r="BV356" s="67"/>
      <c r="BW356" s="67"/>
      <c r="BX356" s="67"/>
      <c r="BY356" s="67"/>
      <c r="BZ356" s="67"/>
      <c r="CA356" s="67"/>
      <c r="CB356" s="67"/>
      <c r="CC356" s="67"/>
      <c r="CD356" s="67"/>
      <c r="CE356" s="67"/>
      <c r="CF356" s="67"/>
      <c r="CG356" s="67"/>
      <c r="CH356" s="67"/>
      <c r="CI356" s="67"/>
      <c r="CJ356" s="67"/>
      <c r="CK356" s="67"/>
      <c r="CL356" s="67"/>
      <c r="CM356" s="67"/>
      <c r="CN356" s="67"/>
      <c r="CO356" s="67"/>
      <c r="CP356" s="67"/>
      <c r="CQ356" s="67"/>
      <c r="CR356" s="67"/>
      <c r="CS356" s="67"/>
      <c r="CT356" s="67"/>
      <c r="CU356" s="67"/>
      <c r="CV356" s="67"/>
      <c r="CW356" s="67"/>
      <c r="CX356" s="67"/>
      <c r="CY356" s="67"/>
      <c r="CZ356" s="67"/>
      <c r="DA356" s="67"/>
      <c r="DB356" s="67"/>
      <c r="DC356" s="67"/>
      <c r="DD356" s="67"/>
      <c r="DE356" s="67"/>
      <c r="DF356" s="67"/>
      <c r="DG356" s="67"/>
      <c r="DH356" s="67"/>
      <c r="DI356" s="67"/>
      <c r="DJ356" s="67"/>
      <c r="DK356" s="67"/>
      <c r="DL356" s="67"/>
      <c r="DM356" s="67"/>
      <c r="DN356" s="67"/>
      <c r="DO356" s="67"/>
      <c r="DP356" s="67"/>
      <c r="DQ356" s="67"/>
      <c r="DR356" s="67"/>
      <c r="DS356" s="67"/>
      <c r="DT356" s="67"/>
      <c r="DU356" s="67"/>
    </row>
    <row r="357" spans="1:125" x14ac:dyDescent="0.25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  <c r="AF357" s="67"/>
      <c r="AG357" s="67"/>
      <c r="AH357" s="67"/>
      <c r="AI357" s="67"/>
      <c r="AJ357" s="67"/>
      <c r="AK357" s="67"/>
      <c r="AL357" s="67"/>
      <c r="AM357" s="67"/>
      <c r="AN357" s="67"/>
      <c r="AO357" s="67"/>
      <c r="AP357" s="67"/>
      <c r="AQ357" s="67"/>
      <c r="AR357" s="67"/>
      <c r="AS357" s="67"/>
      <c r="AT357" s="67"/>
      <c r="AU357" s="67"/>
      <c r="AV357" s="67"/>
      <c r="AW357" s="67"/>
      <c r="AX357" s="67"/>
      <c r="AY357" s="67"/>
      <c r="AZ357" s="67"/>
      <c r="BA357" s="67"/>
      <c r="BB357" s="67"/>
      <c r="BC357" s="67"/>
      <c r="BD357" s="67"/>
      <c r="BE357" s="67"/>
      <c r="BF357" s="67"/>
      <c r="BG357" s="67"/>
      <c r="BH357" s="67"/>
      <c r="BI357" s="67"/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</row>
    <row r="358" spans="1:125" x14ac:dyDescent="0.25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  <c r="AF358" s="67"/>
      <c r="AG358" s="67"/>
      <c r="AH358" s="67"/>
      <c r="AI358" s="67"/>
      <c r="AJ358" s="67"/>
      <c r="AK358" s="67"/>
      <c r="AL358" s="67"/>
      <c r="AM358" s="67"/>
      <c r="AN358" s="67"/>
      <c r="AO358" s="67"/>
      <c r="AP358" s="67"/>
      <c r="AQ358" s="67"/>
      <c r="AR358" s="67"/>
      <c r="AS358" s="67"/>
      <c r="AT358" s="67"/>
      <c r="AU358" s="67"/>
      <c r="AV358" s="67"/>
      <c r="AW358" s="67"/>
      <c r="AX358" s="67"/>
      <c r="AY358" s="67"/>
      <c r="AZ358" s="67"/>
      <c r="BA358" s="67"/>
      <c r="BB358" s="67"/>
      <c r="BC358" s="67"/>
      <c r="BD358" s="67"/>
      <c r="BE358" s="67"/>
      <c r="BF358" s="67"/>
      <c r="BG358" s="67"/>
      <c r="BH358" s="67"/>
      <c r="BI358" s="67"/>
      <c r="BJ358" s="67"/>
      <c r="BK358" s="67"/>
      <c r="BL358" s="67"/>
      <c r="BM358" s="67"/>
      <c r="BN358" s="67"/>
      <c r="BO358" s="67"/>
      <c r="BP358" s="67"/>
      <c r="BQ358" s="67"/>
      <c r="BR358" s="67"/>
      <c r="BS358" s="67"/>
      <c r="BT358" s="67"/>
      <c r="BU358" s="67"/>
      <c r="BV358" s="67"/>
      <c r="BW358" s="67"/>
      <c r="BX358" s="67"/>
      <c r="BY358" s="67"/>
      <c r="BZ358" s="67"/>
      <c r="CA358" s="67"/>
      <c r="CB358" s="67"/>
      <c r="CC358" s="67"/>
      <c r="CD358" s="67"/>
      <c r="CE358" s="67"/>
      <c r="CF358" s="67"/>
      <c r="CG358" s="67"/>
      <c r="CH358" s="67"/>
      <c r="CI358" s="67"/>
      <c r="CJ358" s="67"/>
      <c r="CK358" s="67"/>
      <c r="CL358" s="67"/>
      <c r="CM358" s="67"/>
      <c r="CN358" s="67"/>
      <c r="CO358" s="67"/>
      <c r="CP358" s="67"/>
      <c r="CQ358" s="67"/>
      <c r="CR358" s="67"/>
      <c r="CS358" s="67"/>
      <c r="CT358" s="67"/>
      <c r="CU358" s="67"/>
      <c r="CV358" s="67"/>
      <c r="CW358" s="67"/>
      <c r="CX358" s="67"/>
      <c r="CY358" s="67"/>
      <c r="CZ358" s="67"/>
      <c r="DA358" s="67"/>
      <c r="DB358" s="67"/>
      <c r="DC358" s="67"/>
      <c r="DD358" s="67"/>
      <c r="DE358" s="67"/>
      <c r="DF358" s="67"/>
      <c r="DG358" s="67"/>
      <c r="DH358" s="67"/>
      <c r="DI358" s="67"/>
      <c r="DJ358" s="67"/>
      <c r="DK358" s="67"/>
      <c r="DL358" s="67"/>
      <c r="DM358" s="67"/>
      <c r="DN358" s="67"/>
      <c r="DO358" s="67"/>
      <c r="DP358" s="67"/>
      <c r="DQ358" s="67"/>
      <c r="DR358" s="67"/>
      <c r="DS358" s="67"/>
      <c r="DT358" s="67"/>
      <c r="DU358" s="67"/>
    </row>
    <row r="359" spans="1:125" x14ac:dyDescent="0.25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  <c r="AF359" s="67"/>
      <c r="AG359" s="67"/>
      <c r="AH359" s="67"/>
      <c r="AI359" s="67"/>
      <c r="AJ359" s="67"/>
      <c r="AK359" s="67"/>
      <c r="AL359" s="67"/>
      <c r="AM359" s="67"/>
      <c r="AN359" s="67"/>
      <c r="AO359" s="67"/>
      <c r="AP359" s="67"/>
      <c r="AQ359" s="67"/>
      <c r="AR359" s="67"/>
      <c r="AS359" s="67"/>
      <c r="AT359" s="67"/>
      <c r="AU359" s="67"/>
      <c r="AV359" s="67"/>
      <c r="AW359" s="67"/>
      <c r="AX359" s="67"/>
      <c r="AY359" s="67"/>
      <c r="AZ359" s="67"/>
      <c r="BA359" s="67"/>
      <c r="BB359" s="67"/>
      <c r="BC359" s="67"/>
      <c r="BD359" s="67"/>
      <c r="BE359" s="67"/>
      <c r="BF359" s="67"/>
      <c r="BG359" s="67"/>
      <c r="BH359" s="67"/>
      <c r="BI359" s="67"/>
      <c r="BJ359" s="67"/>
      <c r="BK359" s="67"/>
      <c r="BL359" s="67"/>
      <c r="BM359" s="67"/>
      <c r="BN359" s="67"/>
      <c r="BO359" s="67"/>
      <c r="BP359" s="67"/>
      <c r="BQ359" s="67"/>
      <c r="BR359" s="67"/>
      <c r="BS359" s="67"/>
      <c r="BT359" s="67"/>
      <c r="BU359" s="67"/>
      <c r="BV359" s="67"/>
      <c r="BW359" s="67"/>
      <c r="BX359" s="67"/>
      <c r="BY359" s="67"/>
      <c r="BZ359" s="67"/>
      <c r="CA359" s="67"/>
      <c r="CB359" s="67"/>
      <c r="CC359" s="67"/>
      <c r="CD359" s="67"/>
      <c r="CE359" s="67"/>
      <c r="CF359" s="67"/>
      <c r="CG359" s="67"/>
      <c r="CH359" s="67"/>
      <c r="CI359" s="67"/>
      <c r="CJ359" s="67"/>
      <c r="CK359" s="67"/>
      <c r="CL359" s="67"/>
      <c r="CM359" s="67"/>
      <c r="CN359" s="67"/>
      <c r="CO359" s="67"/>
      <c r="CP359" s="67"/>
      <c r="CQ359" s="67"/>
      <c r="CR359" s="67"/>
      <c r="CS359" s="67"/>
      <c r="CT359" s="67"/>
      <c r="CU359" s="67"/>
      <c r="CV359" s="67"/>
      <c r="CW359" s="67"/>
      <c r="CX359" s="67"/>
      <c r="CY359" s="67"/>
      <c r="CZ359" s="67"/>
      <c r="DA359" s="67"/>
      <c r="DB359" s="67"/>
      <c r="DC359" s="67"/>
      <c r="DD359" s="67"/>
      <c r="DE359" s="67"/>
      <c r="DF359" s="67"/>
      <c r="DG359" s="67"/>
      <c r="DH359" s="67"/>
      <c r="DI359" s="67"/>
      <c r="DJ359" s="67"/>
      <c r="DK359" s="67"/>
      <c r="DL359" s="67"/>
      <c r="DM359" s="67"/>
      <c r="DN359" s="67"/>
      <c r="DO359" s="67"/>
      <c r="DP359" s="67"/>
      <c r="DQ359" s="67"/>
      <c r="DR359" s="67"/>
      <c r="DS359" s="67"/>
      <c r="DT359" s="67"/>
      <c r="DU359" s="67"/>
    </row>
    <row r="360" spans="1:125" x14ac:dyDescent="0.25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  <c r="AA360" s="67"/>
      <c r="AB360" s="67"/>
      <c r="AC360" s="67"/>
      <c r="AD360" s="67"/>
      <c r="AE360" s="67"/>
      <c r="AF360" s="67"/>
      <c r="AG360" s="67"/>
      <c r="AH360" s="67"/>
      <c r="AI360" s="67"/>
      <c r="AJ360" s="67"/>
      <c r="AK360" s="67"/>
      <c r="AL360" s="67"/>
      <c r="AM360" s="67"/>
      <c r="AN360" s="67"/>
      <c r="AO360" s="67"/>
      <c r="AP360" s="67"/>
      <c r="AQ360" s="67"/>
      <c r="AR360" s="67"/>
      <c r="AS360" s="67"/>
      <c r="AT360" s="67"/>
      <c r="AU360" s="67"/>
      <c r="AV360" s="67"/>
      <c r="AW360" s="67"/>
      <c r="AX360" s="67"/>
      <c r="AY360" s="67"/>
      <c r="AZ360" s="67"/>
      <c r="BA360" s="67"/>
      <c r="BB360" s="67"/>
      <c r="BC360" s="67"/>
      <c r="BD360" s="67"/>
      <c r="BE360" s="67"/>
      <c r="BF360" s="67"/>
      <c r="BG360" s="67"/>
      <c r="BH360" s="67"/>
      <c r="BI360" s="67"/>
      <c r="BJ360" s="67"/>
      <c r="BK360" s="67"/>
      <c r="BL360" s="67"/>
      <c r="BM360" s="67"/>
      <c r="BN360" s="67"/>
      <c r="BO360" s="67"/>
      <c r="BP360" s="67"/>
      <c r="BQ360" s="67"/>
      <c r="BR360" s="67"/>
      <c r="BS360" s="67"/>
      <c r="BT360" s="67"/>
      <c r="BU360" s="67"/>
      <c r="BV360" s="67"/>
      <c r="BW360" s="67"/>
      <c r="BX360" s="67"/>
      <c r="BY360" s="67"/>
      <c r="BZ360" s="67"/>
      <c r="CA360" s="67"/>
      <c r="CB360" s="67"/>
      <c r="CC360" s="67"/>
      <c r="CD360" s="67"/>
      <c r="CE360" s="67"/>
      <c r="CF360" s="67"/>
      <c r="CG360" s="67"/>
      <c r="CH360" s="67"/>
      <c r="CI360" s="67"/>
      <c r="CJ360" s="67"/>
      <c r="CK360" s="67"/>
      <c r="CL360" s="67"/>
      <c r="CM360" s="67"/>
      <c r="CN360" s="67"/>
      <c r="CO360" s="67"/>
      <c r="CP360" s="67"/>
      <c r="CQ360" s="67"/>
      <c r="CR360" s="67"/>
      <c r="CS360" s="67"/>
      <c r="CT360" s="67"/>
      <c r="CU360" s="67"/>
      <c r="CV360" s="67"/>
      <c r="CW360" s="67"/>
      <c r="CX360" s="67"/>
      <c r="CY360" s="67"/>
      <c r="CZ360" s="67"/>
      <c r="DA360" s="67"/>
      <c r="DB360" s="67"/>
      <c r="DC360" s="67"/>
      <c r="DD360" s="67"/>
      <c r="DE360" s="67"/>
      <c r="DF360" s="67"/>
      <c r="DG360" s="67"/>
      <c r="DH360" s="67"/>
      <c r="DI360" s="67"/>
      <c r="DJ360" s="67"/>
      <c r="DK360" s="67"/>
      <c r="DL360" s="67"/>
      <c r="DM360" s="67"/>
      <c r="DN360" s="67"/>
      <c r="DO360" s="67"/>
      <c r="DP360" s="67"/>
      <c r="DQ360" s="67"/>
      <c r="DR360" s="67"/>
      <c r="DS360" s="67"/>
      <c r="DT360" s="67"/>
      <c r="DU360" s="67"/>
    </row>
    <row r="361" spans="1:125" x14ac:dyDescent="0.25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  <c r="AA361" s="67"/>
      <c r="AB361" s="67"/>
      <c r="AC361" s="67"/>
      <c r="AD361" s="67"/>
      <c r="AE361" s="67"/>
      <c r="AF361" s="67"/>
      <c r="AG361" s="67"/>
      <c r="AH361" s="67"/>
      <c r="AI361" s="67"/>
      <c r="AJ361" s="67"/>
      <c r="AK361" s="67"/>
      <c r="AL361" s="67"/>
      <c r="AM361" s="67"/>
      <c r="AN361" s="67"/>
      <c r="AO361" s="67"/>
      <c r="AP361" s="67"/>
      <c r="AQ361" s="67"/>
      <c r="AR361" s="67"/>
      <c r="AS361" s="67"/>
      <c r="AT361" s="67"/>
      <c r="AU361" s="67"/>
      <c r="AV361" s="67"/>
      <c r="AW361" s="67"/>
      <c r="AX361" s="67"/>
      <c r="AY361" s="67"/>
      <c r="AZ361" s="67"/>
      <c r="BA361" s="67"/>
      <c r="BB361" s="67"/>
      <c r="BC361" s="67"/>
      <c r="BD361" s="67"/>
      <c r="BE361" s="67"/>
      <c r="BF361" s="67"/>
      <c r="BG361" s="67"/>
      <c r="BH361" s="67"/>
      <c r="BI361" s="67"/>
      <c r="BJ361" s="67"/>
      <c r="BK361" s="67"/>
      <c r="BL361" s="67"/>
      <c r="BM361" s="67"/>
      <c r="BN361" s="67"/>
      <c r="BO361" s="67"/>
      <c r="BP361" s="67"/>
      <c r="BQ361" s="67"/>
      <c r="BR361" s="67"/>
      <c r="BS361" s="67"/>
      <c r="BT361" s="67"/>
      <c r="BU361" s="67"/>
      <c r="BV361" s="67"/>
      <c r="BW361" s="67"/>
      <c r="BX361" s="67"/>
      <c r="BY361" s="67"/>
      <c r="BZ361" s="67"/>
      <c r="CA361" s="67"/>
      <c r="CB361" s="67"/>
      <c r="CC361" s="67"/>
      <c r="CD361" s="67"/>
      <c r="CE361" s="67"/>
      <c r="CF361" s="67"/>
      <c r="CG361" s="67"/>
      <c r="CH361" s="67"/>
      <c r="CI361" s="67"/>
      <c r="CJ361" s="67"/>
      <c r="CK361" s="67"/>
      <c r="CL361" s="67"/>
      <c r="CM361" s="67"/>
      <c r="CN361" s="67"/>
      <c r="CO361" s="67"/>
      <c r="CP361" s="67"/>
      <c r="CQ361" s="67"/>
      <c r="CR361" s="67"/>
      <c r="CS361" s="67"/>
      <c r="CT361" s="67"/>
      <c r="CU361" s="67"/>
      <c r="CV361" s="67"/>
      <c r="CW361" s="67"/>
      <c r="CX361" s="67"/>
      <c r="CY361" s="67"/>
      <c r="CZ361" s="67"/>
      <c r="DA361" s="67"/>
      <c r="DB361" s="67"/>
      <c r="DC361" s="67"/>
      <c r="DD361" s="67"/>
      <c r="DE361" s="67"/>
      <c r="DF361" s="67"/>
      <c r="DG361" s="67"/>
      <c r="DH361" s="67"/>
      <c r="DI361" s="67"/>
      <c r="DJ361" s="67"/>
      <c r="DK361" s="67"/>
      <c r="DL361" s="67"/>
      <c r="DM361" s="67"/>
      <c r="DN361" s="67"/>
      <c r="DO361" s="67"/>
      <c r="DP361" s="67"/>
      <c r="DQ361" s="67"/>
      <c r="DR361" s="67"/>
      <c r="DS361" s="67"/>
      <c r="DT361" s="67"/>
      <c r="DU361" s="67"/>
    </row>
    <row r="362" spans="1:125" x14ac:dyDescent="0.25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  <c r="AF362" s="67"/>
      <c r="AG362" s="67"/>
      <c r="AH362" s="67"/>
      <c r="AI362" s="67"/>
      <c r="AJ362" s="67"/>
      <c r="AK362" s="67"/>
      <c r="AL362" s="67"/>
      <c r="AM362" s="67"/>
      <c r="AN362" s="67"/>
      <c r="AO362" s="67"/>
      <c r="AP362" s="67"/>
      <c r="AQ362" s="67"/>
      <c r="AR362" s="67"/>
      <c r="AS362" s="67"/>
      <c r="AT362" s="67"/>
      <c r="AU362" s="67"/>
      <c r="AV362" s="67"/>
      <c r="AW362" s="67"/>
      <c r="AX362" s="67"/>
      <c r="AY362" s="67"/>
      <c r="AZ362" s="67"/>
      <c r="BA362" s="67"/>
      <c r="BB362" s="67"/>
      <c r="BC362" s="67"/>
      <c r="BD362" s="67"/>
      <c r="BE362" s="67"/>
      <c r="BF362" s="67"/>
      <c r="BG362" s="67"/>
      <c r="BH362" s="67"/>
      <c r="BI362" s="67"/>
      <c r="BJ362" s="67"/>
      <c r="BK362" s="67"/>
      <c r="BL362" s="67"/>
      <c r="BM362" s="67"/>
      <c r="BN362" s="67"/>
      <c r="BO362" s="67"/>
      <c r="BP362" s="67"/>
      <c r="BQ362" s="67"/>
      <c r="BR362" s="67"/>
      <c r="BS362" s="67"/>
      <c r="BT362" s="67"/>
      <c r="BU362" s="67"/>
      <c r="BV362" s="67"/>
      <c r="BW362" s="67"/>
      <c r="BX362" s="67"/>
      <c r="BY362" s="67"/>
      <c r="BZ362" s="67"/>
      <c r="CA362" s="67"/>
      <c r="CB362" s="67"/>
      <c r="CC362" s="67"/>
      <c r="CD362" s="67"/>
      <c r="CE362" s="67"/>
      <c r="CF362" s="67"/>
      <c r="CG362" s="67"/>
      <c r="CH362" s="67"/>
      <c r="CI362" s="67"/>
      <c r="CJ362" s="67"/>
      <c r="CK362" s="67"/>
      <c r="CL362" s="67"/>
      <c r="CM362" s="67"/>
      <c r="CN362" s="67"/>
      <c r="CO362" s="67"/>
      <c r="CP362" s="67"/>
      <c r="CQ362" s="67"/>
      <c r="CR362" s="67"/>
      <c r="CS362" s="67"/>
      <c r="CT362" s="67"/>
      <c r="CU362" s="67"/>
      <c r="CV362" s="67"/>
      <c r="CW362" s="67"/>
      <c r="CX362" s="67"/>
      <c r="CY362" s="67"/>
      <c r="CZ362" s="67"/>
      <c r="DA362" s="67"/>
      <c r="DB362" s="67"/>
      <c r="DC362" s="67"/>
      <c r="DD362" s="67"/>
      <c r="DE362" s="67"/>
      <c r="DF362" s="67"/>
      <c r="DG362" s="67"/>
      <c r="DH362" s="67"/>
      <c r="DI362" s="67"/>
      <c r="DJ362" s="67"/>
      <c r="DK362" s="67"/>
      <c r="DL362" s="67"/>
      <c r="DM362" s="67"/>
      <c r="DN362" s="67"/>
      <c r="DO362" s="67"/>
      <c r="DP362" s="67"/>
      <c r="DQ362" s="67"/>
      <c r="DR362" s="67"/>
      <c r="DS362" s="67"/>
      <c r="DT362" s="67"/>
      <c r="DU362" s="67"/>
    </row>
    <row r="363" spans="1:125" x14ac:dyDescent="0.25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  <c r="AF363" s="67"/>
      <c r="AG363" s="67"/>
      <c r="AH363" s="67"/>
      <c r="AI363" s="67"/>
      <c r="AJ363" s="67"/>
      <c r="AK363" s="67"/>
      <c r="AL363" s="67"/>
      <c r="AM363" s="67"/>
      <c r="AN363" s="67"/>
      <c r="AO363" s="67"/>
      <c r="AP363" s="67"/>
      <c r="AQ363" s="67"/>
      <c r="AR363" s="67"/>
      <c r="AS363" s="67"/>
      <c r="AT363" s="67"/>
      <c r="AU363" s="67"/>
      <c r="AV363" s="67"/>
      <c r="AW363" s="67"/>
      <c r="AX363" s="67"/>
      <c r="AY363" s="67"/>
      <c r="AZ363" s="67"/>
      <c r="BA363" s="67"/>
      <c r="BB363" s="67"/>
      <c r="BC363" s="67"/>
      <c r="BD363" s="67"/>
      <c r="BE363" s="67"/>
      <c r="BF363" s="67"/>
      <c r="BG363" s="67"/>
      <c r="BH363" s="67"/>
      <c r="BI363" s="67"/>
      <c r="BJ363" s="67"/>
      <c r="BK363" s="67"/>
      <c r="BL363" s="67"/>
      <c r="BM363" s="67"/>
      <c r="BN363" s="67"/>
      <c r="BO363" s="67"/>
      <c r="BP363" s="67"/>
      <c r="BQ363" s="67"/>
      <c r="BR363" s="67"/>
      <c r="BS363" s="67"/>
      <c r="BT363" s="67"/>
      <c r="BU363" s="67"/>
      <c r="BV363" s="67"/>
      <c r="BW363" s="67"/>
      <c r="BX363" s="67"/>
      <c r="BY363" s="67"/>
      <c r="BZ363" s="67"/>
      <c r="CA363" s="67"/>
      <c r="CB363" s="67"/>
      <c r="CC363" s="67"/>
      <c r="CD363" s="67"/>
      <c r="CE363" s="67"/>
      <c r="CF363" s="67"/>
      <c r="CG363" s="67"/>
      <c r="CH363" s="67"/>
      <c r="CI363" s="67"/>
      <c r="CJ363" s="67"/>
      <c r="CK363" s="67"/>
      <c r="CL363" s="67"/>
      <c r="CM363" s="67"/>
      <c r="CN363" s="67"/>
      <c r="CO363" s="67"/>
      <c r="CP363" s="67"/>
      <c r="CQ363" s="67"/>
      <c r="CR363" s="67"/>
      <c r="CS363" s="67"/>
      <c r="CT363" s="67"/>
      <c r="CU363" s="67"/>
      <c r="CV363" s="67"/>
      <c r="CW363" s="67"/>
      <c r="CX363" s="67"/>
      <c r="CY363" s="67"/>
      <c r="CZ363" s="67"/>
      <c r="DA363" s="67"/>
      <c r="DB363" s="67"/>
      <c r="DC363" s="67"/>
      <c r="DD363" s="67"/>
      <c r="DE363" s="67"/>
      <c r="DF363" s="67"/>
      <c r="DG363" s="67"/>
      <c r="DH363" s="67"/>
      <c r="DI363" s="67"/>
      <c r="DJ363" s="67"/>
      <c r="DK363" s="67"/>
      <c r="DL363" s="67"/>
      <c r="DM363" s="67"/>
      <c r="DN363" s="67"/>
      <c r="DO363" s="67"/>
      <c r="DP363" s="67"/>
      <c r="DQ363" s="67"/>
      <c r="DR363" s="67"/>
      <c r="DS363" s="67"/>
      <c r="DT363" s="67"/>
      <c r="DU363" s="67"/>
    </row>
    <row r="364" spans="1:125" x14ac:dyDescent="0.25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  <c r="AF364" s="67"/>
      <c r="AG364" s="67"/>
      <c r="AH364" s="67"/>
      <c r="AI364" s="67"/>
      <c r="AJ364" s="67"/>
      <c r="AK364" s="67"/>
      <c r="AL364" s="67"/>
      <c r="AM364" s="67"/>
      <c r="AN364" s="67"/>
      <c r="AO364" s="67"/>
      <c r="AP364" s="67"/>
      <c r="AQ364" s="67"/>
      <c r="AR364" s="67"/>
      <c r="AS364" s="67"/>
      <c r="AT364" s="67"/>
      <c r="AU364" s="67"/>
      <c r="AV364" s="67"/>
      <c r="AW364" s="67"/>
      <c r="AX364" s="67"/>
      <c r="AY364" s="67"/>
      <c r="AZ364" s="67"/>
      <c r="BA364" s="67"/>
      <c r="BB364" s="67"/>
      <c r="BC364" s="67"/>
      <c r="BD364" s="67"/>
      <c r="BE364" s="67"/>
      <c r="BF364" s="67"/>
      <c r="BG364" s="67"/>
      <c r="BH364" s="67"/>
      <c r="BI364" s="67"/>
      <c r="BJ364" s="67"/>
      <c r="BK364" s="67"/>
      <c r="BL364" s="67"/>
      <c r="BM364" s="67"/>
      <c r="BN364" s="67"/>
      <c r="BO364" s="67"/>
      <c r="BP364" s="67"/>
      <c r="BQ364" s="67"/>
      <c r="BR364" s="67"/>
      <c r="BS364" s="67"/>
      <c r="BT364" s="67"/>
      <c r="BU364" s="67"/>
      <c r="BV364" s="67"/>
      <c r="BW364" s="67"/>
      <c r="BX364" s="67"/>
      <c r="BY364" s="67"/>
      <c r="BZ364" s="67"/>
      <c r="CA364" s="67"/>
      <c r="CB364" s="67"/>
      <c r="CC364" s="67"/>
      <c r="CD364" s="67"/>
      <c r="CE364" s="67"/>
      <c r="CF364" s="67"/>
      <c r="CG364" s="67"/>
      <c r="CH364" s="67"/>
      <c r="CI364" s="67"/>
      <c r="CJ364" s="67"/>
      <c r="CK364" s="67"/>
      <c r="CL364" s="67"/>
      <c r="CM364" s="67"/>
      <c r="CN364" s="67"/>
      <c r="CO364" s="67"/>
      <c r="CP364" s="67"/>
      <c r="CQ364" s="67"/>
      <c r="CR364" s="67"/>
      <c r="CS364" s="67"/>
      <c r="CT364" s="67"/>
      <c r="CU364" s="67"/>
      <c r="CV364" s="67"/>
      <c r="CW364" s="67"/>
      <c r="CX364" s="67"/>
      <c r="CY364" s="67"/>
      <c r="CZ364" s="67"/>
      <c r="DA364" s="67"/>
      <c r="DB364" s="67"/>
      <c r="DC364" s="67"/>
      <c r="DD364" s="67"/>
      <c r="DE364" s="67"/>
      <c r="DF364" s="67"/>
      <c r="DG364" s="67"/>
      <c r="DH364" s="67"/>
      <c r="DI364" s="67"/>
      <c r="DJ364" s="67"/>
      <c r="DK364" s="67"/>
      <c r="DL364" s="67"/>
      <c r="DM364" s="67"/>
      <c r="DN364" s="67"/>
      <c r="DO364" s="67"/>
      <c r="DP364" s="67"/>
      <c r="DQ364" s="67"/>
      <c r="DR364" s="67"/>
      <c r="DS364" s="67"/>
      <c r="DT364" s="67"/>
      <c r="DU364" s="67"/>
    </row>
    <row r="365" spans="1:125" x14ac:dyDescent="0.25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  <c r="AF365" s="67"/>
      <c r="AG365" s="67"/>
      <c r="AH365" s="67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7"/>
      <c r="AT365" s="67"/>
      <c r="AU365" s="67"/>
      <c r="AV365" s="67"/>
      <c r="AW365" s="67"/>
      <c r="AX365" s="67"/>
      <c r="AY365" s="67"/>
      <c r="AZ365" s="67"/>
      <c r="BA365" s="67"/>
      <c r="BB365" s="67"/>
      <c r="BC365" s="67"/>
      <c r="BD365" s="67"/>
      <c r="BE365" s="67"/>
      <c r="BF365" s="67"/>
      <c r="BG365" s="67"/>
      <c r="BH365" s="67"/>
      <c r="BI365" s="67"/>
      <c r="BJ365" s="67"/>
      <c r="BK365" s="67"/>
      <c r="BL365" s="67"/>
      <c r="BM365" s="67"/>
      <c r="BN365" s="67"/>
      <c r="BO365" s="67"/>
      <c r="BP365" s="67"/>
      <c r="BQ365" s="67"/>
      <c r="BR365" s="67"/>
      <c r="BS365" s="67"/>
      <c r="BT365" s="67"/>
      <c r="BU365" s="67"/>
      <c r="BV365" s="67"/>
      <c r="BW365" s="67"/>
      <c r="BX365" s="67"/>
      <c r="BY365" s="67"/>
      <c r="BZ365" s="67"/>
      <c r="CA365" s="67"/>
      <c r="CB365" s="67"/>
      <c r="CC365" s="67"/>
      <c r="CD365" s="67"/>
      <c r="CE365" s="67"/>
      <c r="CF365" s="67"/>
      <c r="CG365" s="67"/>
      <c r="CH365" s="67"/>
      <c r="CI365" s="67"/>
      <c r="CJ365" s="67"/>
      <c r="CK365" s="67"/>
      <c r="CL365" s="67"/>
      <c r="CM365" s="67"/>
      <c r="CN365" s="67"/>
      <c r="CO365" s="67"/>
      <c r="CP365" s="67"/>
      <c r="CQ365" s="67"/>
      <c r="CR365" s="67"/>
      <c r="CS365" s="67"/>
      <c r="CT365" s="67"/>
      <c r="CU365" s="67"/>
      <c r="CV365" s="67"/>
      <c r="CW365" s="67"/>
      <c r="CX365" s="67"/>
      <c r="CY365" s="67"/>
      <c r="CZ365" s="67"/>
      <c r="DA365" s="67"/>
      <c r="DB365" s="67"/>
      <c r="DC365" s="67"/>
      <c r="DD365" s="67"/>
      <c r="DE365" s="67"/>
      <c r="DF365" s="67"/>
      <c r="DG365" s="67"/>
      <c r="DH365" s="67"/>
      <c r="DI365" s="67"/>
      <c r="DJ365" s="67"/>
      <c r="DK365" s="67"/>
      <c r="DL365" s="67"/>
      <c r="DM365" s="67"/>
      <c r="DN365" s="67"/>
      <c r="DO365" s="67"/>
      <c r="DP365" s="67"/>
      <c r="DQ365" s="67"/>
      <c r="DR365" s="67"/>
      <c r="DS365" s="67"/>
      <c r="DT365" s="67"/>
      <c r="DU365" s="67"/>
    </row>
    <row r="366" spans="1:125" x14ac:dyDescent="0.25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  <c r="AF366" s="67"/>
      <c r="AG366" s="67"/>
      <c r="AH366" s="67"/>
      <c r="AI366" s="67"/>
      <c r="AJ366" s="67"/>
      <c r="AK366" s="67"/>
      <c r="AL366" s="67"/>
      <c r="AM366" s="67"/>
      <c r="AN366" s="67"/>
      <c r="AO366" s="67"/>
      <c r="AP366" s="67"/>
      <c r="AQ366" s="67"/>
      <c r="AR366" s="67"/>
      <c r="AS366" s="67"/>
      <c r="AT366" s="67"/>
      <c r="AU366" s="67"/>
      <c r="AV366" s="67"/>
      <c r="AW366" s="67"/>
      <c r="AX366" s="67"/>
      <c r="AY366" s="67"/>
      <c r="AZ366" s="67"/>
      <c r="BA366" s="67"/>
      <c r="BB366" s="67"/>
      <c r="BC366" s="67"/>
      <c r="BD366" s="67"/>
      <c r="BE366" s="67"/>
      <c r="BF366" s="67"/>
      <c r="BG366" s="67"/>
      <c r="BH366" s="67"/>
      <c r="BI366" s="67"/>
      <c r="BJ366" s="67"/>
      <c r="BK366" s="67"/>
      <c r="BL366" s="67"/>
      <c r="BM366" s="67"/>
      <c r="BN366" s="67"/>
      <c r="BO366" s="67"/>
      <c r="BP366" s="67"/>
      <c r="BQ366" s="67"/>
      <c r="BR366" s="67"/>
      <c r="BS366" s="67"/>
      <c r="BT366" s="67"/>
      <c r="BU366" s="67"/>
      <c r="BV366" s="67"/>
      <c r="BW366" s="67"/>
      <c r="BX366" s="67"/>
      <c r="BY366" s="67"/>
      <c r="BZ366" s="67"/>
      <c r="CA366" s="67"/>
      <c r="CB366" s="67"/>
      <c r="CC366" s="67"/>
      <c r="CD366" s="67"/>
      <c r="CE366" s="67"/>
      <c r="CF366" s="67"/>
      <c r="CG366" s="67"/>
      <c r="CH366" s="67"/>
      <c r="CI366" s="67"/>
      <c r="CJ366" s="67"/>
      <c r="CK366" s="67"/>
      <c r="CL366" s="67"/>
      <c r="CM366" s="67"/>
      <c r="CN366" s="67"/>
      <c r="CO366" s="67"/>
      <c r="CP366" s="67"/>
      <c r="CQ366" s="67"/>
      <c r="CR366" s="67"/>
      <c r="CS366" s="67"/>
      <c r="CT366" s="67"/>
      <c r="CU366" s="67"/>
      <c r="CV366" s="67"/>
      <c r="CW366" s="67"/>
      <c r="CX366" s="67"/>
      <c r="CY366" s="67"/>
      <c r="CZ366" s="67"/>
      <c r="DA366" s="67"/>
      <c r="DB366" s="67"/>
      <c r="DC366" s="67"/>
      <c r="DD366" s="67"/>
      <c r="DE366" s="67"/>
      <c r="DF366" s="67"/>
      <c r="DG366" s="67"/>
      <c r="DH366" s="67"/>
      <c r="DI366" s="67"/>
      <c r="DJ366" s="67"/>
      <c r="DK366" s="67"/>
      <c r="DL366" s="67"/>
      <c r="DM366" s="67"/>
      <c r="DN366" s="67"/>
      <c r="DO366" s="67"/>
      <c r="DP366" s="67"/>
      <c r="DQ366" s="67"/>
      <c r="DR366" s="67"/>
      <c r="DS366" s="67"/>
      <c r="DT366" s="67"/>
      <c r="DU366" s="67"/>
    </row>
    <row r="367" spans="1:125" x14ac:dyDescent="0.25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  <c r="AF367" s="67"/>
      <c r="AG367" s="67"/>
      <c r="AH367" s="67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7"/>
      <c r="AT367" s="67"/>
      <c r="AU367" s="67"/>
      <c r="AV367" s="67"/>
      <c r="AW367" s="67"/>
      <c r="AX367" s="67"/>
      <c r="AY367" s="67"/>
      <c r="AZ367" s="67"/>
      <c r="BA367" s="67"/>
      <c r="BB367" s="67"/>
      <c r="BC367" s="67"/>
      <c r="BD367" s="67"/>
      <c r="BE367" s="67"/>
      <c r="BF367" s="67"/>
      <c r="BG367" s="67"/>
      <c r="BH367" s="67"/>
      <c r="BI367" s="67"/>
      <c r="BJ367" s="67"/>
      <c r="BK367" s="67"/>
      <c r="BL367" s="67"/>
      <c r="BM367" s="67"/>
      <c r="BN367" s="67"/>
      <c r="BO367" s="67"/>
      <c r="BP367" s="67"/>
      <c r="BQ367" s="67"/>
      <c r="BR367" s="67"/>
      <c r="BS367" s="67"/>
      <c r="BT367" s="67"/>
      <c r="BU367" s="67"/>
      <c r="BV367" s="67"/>
      <c r="BW367" s="67"/>
      <c r="BX367" s="67"/>
      <c r="BY367" s="67"/>
      <c r="BZ367" s="67"/>
      <c r="CA367" s="67"/>
      <c r="CB367" s="67"/>
      <c r="CC367" s="67"/>
      <c r="CD367" s="67"/>
      <c r="CE367" s="67"/>
      <c r="CF367" s="67"/>
      <c r="CG367" s="67"/>
      <c r="CH367" s="67"/>
      <c r="CI367" s="67"/>
      <c r="CJ367" s="67"/>
      <c r="CK367" s="67"/>
      <c r="CL367" s="67"/>
      <c r="CM367" s="67"/>
      <c r="CN367" s="67"/>
      <c r="CO367" s="67"/>
      <c r="CP367" s="67"/>
      <c r="CQ367" s="67"/>
      <c r="CR367" s="67"/>
      <c r="CS367" s="67"/>
      <c r="CT367" s="67"/>
      <c r="CU367" s="67"/>
      <c r="CV367" s="67"/>
      <c r="CW367" s="67"/>
      <c r="CX367" s="67"/>
      <c r="CY367" s="67"/>
      <c r="CZ367" s="67"/>
      <c r="DA367" s="67"/>
      <c r="DB367" s="67"/>
      <c r="DC367" s="67"/>
      <c r="DD367" s="67"/>
      <c r="DE367" s="67"/>
      <c r="DF367" s="67"/>
      <c r="DG367" s="67"/>
      <c r="DH367" s="67"/>
      <c r="DI367" s="67"/>
      <c r="DJ367" s="67"/>
      <c r="DK367" s="67"/>
      <c r="DL367" s="67"/>
      <c r="DM367" s="67"/>
      <c r="DN367" s="67"/>
      <c r="DO367" s="67"/>
      <c r="DP367" s="67"/>
      <c r="DQ367" s="67"/>
      <c r="DR367" s="67"/>
      <c r="DS367" s="67"/>
      <c r="DT367" s="67"/>
      <c r="DU367" s="67"/>
    </row>
    <row r="368" spans="1:125" x14ac:dyDescent="0.25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  <c r="AF368" s="67"/>
      <c r="AG368" s="67"/>
      <c r="AH368" s="67"/>
      <c r="AI368" s="67"/>
      <c r="AJ368" s="67"/>
      <c r="AK368" s="67"/>
      <c r="AL368" s="67"/>
      <c r="AM368" s="67"/>
      <c r="AN368" s="67"/>
      <c r="AO368" s="67"/>
      <c r="AP368" s="67"/>
      <c r="AQ368" s="67"/>
      <c r="AR368" s="67"/>
      <c r="AS368" s="67"/>
      <c r="AT368" s="67"/>
      <c r="AU368" s="67"/>
      <c r="AV368" s="67"/>
      <c r="AW368" s="67"/>
      <c r="AX368" s="67"/>
      <c r="AY368" s="67"/>
      <c r="AZ368" s="67"/>
      <c r="BA368" s="67"/>
      <c r="BB368" s="67"/>
      <c r="BC368" s="67"/>
      <c r="BD368" s="67"/>
      <c r="BE368" s="67"/>
      <c r="BF368" s="67"/>
      <c r="BG368" s="67"/>
      <c r="BH368" s="67"/>
      <c r="BI368" s="67"/>
      <c r="BJ368" s="67"/>
      <c r="BK368" s="67"/>
      <c r="BL368" s="67"/>
      <c r="BM368" s="67"/>
      <c r="BN368" s="67"/>
      <c r="BO368" s="67"/>
      <c r="BP368" s="67"/>
      <c r="BQ368" s="67"/>
      <c r="BR368" s="67"/>
      <c r="BS368" s="67"/>
      <c r="BT368" s="67"/>
      <c r="BU368" s="67"/>
      <c r="BV368" s="67"/>
      <c r="BW368" s="67"/>
      <c r="BX368" s="67"/>
      <c r="BY368" s="67"/>
      <c r="BZ368" s="67"/>
      <c r="CA368" s="67"/>
      <c r="CB368" s="67"/>
      <c r="CC368" s="67"/>
      <c r="CD368" s="67"/>
      <c r="CE368" s="67"/>
      <c r="CF368" s="67"/>
      <c r="CG368" s="67"/>
      <c r="CH368" s="67"/>
      <c r="CI368" s="67"/>
      <c r="CJ368" s="67"/>
      <c r="CK368" s="67"/>
      <c r="CL368" s="67"/>
      <c r="CM368" s="67"/>
      <c r="CN368" s="67"/>
      <c r="CO368" s="67"/>
      <c r="CP368" s="67"/>
      <c r="CQ368" s="67"/>
      <c r="CR368" s="67"/>
      <c r="CS368" s="67"/>
      <c r="CT368" s="67"/>
      <c r="CU368" s="67"/>
      <c r="CV368" s="67"/>
      <c r="CW368" s="67"/>
      <c r="CX368" s="67"/>
      <c r="CY368" s="67"/>
      <c r="CZ368" s="67"/>
      <c r="DA368" s="67"/>
      <c r="DB368" s="67"/>
      <c r="DC368" s="67"/>
      <c r="DD368" s="67"/>
      <c r="DE368" s="67"/>
      <c r="DF368" s="67"/>
      <c r="DG368" s="67"/>
      <c r="DH368" s="67"/>
      <c r="DI368" s="67"/>
      <c r="DJ368" s="67"/>
      <c r="DK368" s="67"/>
      <c r="DL368" s="67"/>
      <c r="DM368" s="67"/>
      <c r="DN368" s="67"/>
      <c r="DO368" s="67"/>
      <c r="DP368" s="67"/>
      <c r="DQ368" s="67"/>
      <c r="DR368" s="67"/>
      <c r="DS368" s="67"/>
      <c r="DT368" s="67"/>
      <c r="DU368" s="67"/>
    </row>
    <row r="369" spans="1:125" x14ac:dyDescent="0.25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  <c r="AF369" s="67"/>
      <c r="AG369" s="67"/>
      <c r="AH369" s="67"/>
      <c r="AI369" s="67"/>
      <c r="AJ369" s="67"/>
      <c r="AK369" s="67"/>
      <c r="AL369" s="67"/>
      <c r="AM369" s="67"/>
      <c r="AN369" s="67"/>
      <c r="AO369" s="67"/>
      <c r="AP369" s="67"/>
      <c r="AQ369" s="67"/>
      <c r="AR369" s="67"/>
      <c r="AS369" s="67"/>
      <c r="AT369" s="67"/>
      <c r="AU369" s="67"/>
      <c r="AV369" s="67"/>
      <c r="AW369" s="67"/>
      <c r="AX369" s="67"/>
      <c r="AY369" s="67"/>
      <c r="AZ369" s="67"/>
      <c r="BA369" s="67"/>
      <c r="BB369" s="67"/>
      <c r="BC369" s="67"/>
      <c r="BD369" s="67"/>
      <c r="BE369" s="67"/>
      <c r="BF369" s="67"/>
      <c r="BG369" s="67"/>
      <c r="BH369" s="67"/>
      <c r="BI369" s="67"/>
      <c r="BJ369" s="67"/>
      <c r="BK369" s="67"/>
      <c r="BL369" s="67"/>
      <c r="BM369" s="67"/>
      <c r="BN369" s="67"/>
      <c r="BO369" s="67"/>
      <c r="BP369" s="67"/>
      <c r="BQ369" s="67"/>
      <c r="BR369" s="67"/>
      <c r="BS369" s="67"/>
      <c r="BT369" s="67"/>
      <c r="BU369" s="67"/>
      <c r="BV369" s="67"/>
      <c r="BW369" s="67"/>
      <c r="BX369" s="67"/>
      <c r="BY369" s="67"/>
      <c r="BZ369" s="67"/>
      <c r="CA369" s="67"/>
      <c r="CB369" s="67"/>
      <c r="CC369" s="67"/>
      <c r="CD369" s="67"/>
      <c r="CE369" s="67"/>
      <c r="CF369" s="67"/>
      <c r="CG369" s="67"/>
      <c r="CH369" s="67"/>
      <c r="CI369" s="67"/>
      <c r="CJ369" s="67"/>
      <c r="CK369" s="67"/>
      <c r="CL369" s="67"/>
      <c r="CM369" s="67"/>
      <c r="CN369" s="67"/>
      <c r="CO369" s="67"/>
      <c r="CP369" s="67"/>
      <c r="CQ369" s="67"/>
      <c r="CR369" s="67"/>
      <c r="CS369" s="67"/>
      <c r="CT369" s="67"/>
      <c r="CU369" s="67"/>
      <c r="CV369" s="67"/>
      <c r="CW369" s="67"/>
      <c r="CX369" s="67"/>
      <c r="CY369" s="67"/>
      <c r="CZ369" s="67"/>
      <c r="DA369" s="67"/>
      <c r="DB369" s="67"/>
      <c r="DC369" s="67"/>
      <c r="DD369" s="67"/>
      <c r="DE369" s="67"/>
      <c r="DF369" s="67"/>
      <c r="DG369" s="67"/>
      <c r="DH369" s="67"/>
      <c r="DI369" s="67"/>
      <c r="DJ369" s="67"/>
      <c r="DK369" s="67"/>
      <c r="DL369" s="67"/>
      <c r="DM369" s="67"/>
      <c r="DN369" s="67"/>
      <c r="DO369" s="67"/>
      <c r="DP369" s="67"/>
      <c r="DQ369" s="67"/>
      <c r="DR369" s="67"/>
      <c r="DS369" s="67"/>
      <c r="DT369" s="67"/>
      <c r="DU369" s="67"/>
    </row>
    <row r="370" spans="1:125" x14ac:dyDescent="0.25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  <c r="AF370" s="67"/>
      <c r="AG370" s="67"/>
      <c r="AH370" s="67"/>
      <c r="AI370" s="67"/>
      <c r="AJ370" s="67"/>
      <c r="AK370" s="67"/>
      <c r="AL370" s="67"/>
      <c r="AM370" s="67"/>
      <c r="AN370" s="67"/>
      <c r="AO370" s="67"/>
      <c r="AP370" s="67"/>
      <c r="AQ370" s="67"/>
      <c r="AR370" s="67"/>
      <c r="AS370" s="67"/>
      <c r="AT370" s="67"/>
      <c r="AU370" s="67"/>
      <c r="AV370" s="67"/>
      <c r="AW370" s="67"/>
      <c r="AX370" s="67"/>
      <c r="AY370" s="67"/>
      <c r="AZ370" s="67"/>
      <c r="BA370" s="67"/>
      <c r="BB370" s="67"/>
      <c r="BC370" s="67"/>
      <c r="BD370" s="67"/>
      <c r="BE370" s="67"/>
      <c r="BF370" s="67"/>
      <c r="BG370" s="67"/>
      <c r="BH370" s="67"/>
      <c r="BI370" s="67"/>
      <c r="BJ370" s="67"/>
      <c r="BK370" s="67"/>
      <c r="BL370" s="67"/>
      <c r="BM370" s="67"/>
      <c r="BN370" s="67"/>
      <c r="BO370" s="67"/>
      <c r="BP370" s="67"/>
      <c r="BQ370" s="67"/>
      <c r="BR370" s="67"/>
      <c r="BS370" s="67"/>
      <c r="BT370" s="67"/>
      <c r="BU370" s="67"/>
      <c r="BV370" s="67"/>
      <c r="BW370" s="67"/>
      <c r="BX370" s="67"/>
      <c r="BY370" s="67"/>
      <c r="BZ370" s="67"/>
      <c r="CA370" s="67"/>
      <c r="CB370" s="67"/>
      <c r="CC370" s="67"/>
      <c r="CD370" s="67"/>
      <c r="CE370" s="67"/>
      <c r="CF370" s="67"/>
      <c r="CG370" s="67"/>
      <c r="CH370" s="67"/>
      <c r="CI370" s="67"/>
      <c r="CJ370" s="67"/>
      <c r="CK370" s="67"/>
      <c r="CL370" s="67"/>
      <c r="CM370" s="67"/>
      <c r="CN370" s="67"/>
      <c r="CO370" s="67"/>
      <c r="CP370" s="67"/>
      <c r="CQ370" s="67"/>
      <c r="CR370" s="67"/>
      <c r="CS370" s="67"/>
      <c r="CT370" s="67"/>
      <c r="CU370" s="67"/>
      <c r="CV370" s="67"/>
      <c r="CW370" s="67"/>
      <c r="CX370" s="67"/>
      <c r="CY370" s="67"/>
      <c r="CZ370" s="67"/>
      <c r="DA370" s="67"/>
      <c r="DB370" s="67"/>
      <c r="DC370" s="67"/>
      <c r="DD370" s="67"/>
      <c r="DE370" s="67"/>
      <c r="DF370" s="67"/>
      <c r="DG370" s="67"/>
      <c r="DH370" s="67"/>
      <c r="DI370" s="67"/>
      <c r="DJ370" s="67"/>
      <c r="DK370" s="67"/>
      <c r="DL370" s="67"/>
      <c r="DM370" s="67"/>
      <c r="DN370" s="67"/>
      <c r="DO370" s="67"/>
      <c r="DP370" s="67"/>
      <c r="DQ370" s="67"/>
      <c r="DR370" s="67"/>
      <c r="DS370" s="67"/>
      <c r="DT370" s="67"/>
      <c r="DU370" s="67"/>
    </row>
    <row r="371" spans="1:125" x14ac:dyDescent="0.25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  <c r="AF371" s="67"/>
      <c r="AG371" s="67"/>
      <c r="AH371" s="67"/>
      <c r="AI371" s="67"/>
      <c r="AJ371" s="67"/>
      <c r="AK371" s="67"/>
      <c r="AL371" s="67"/>
      <c r="AM371" s="67"/>
      <c r="AN371" s="67"/>
      <c r="AO371" s="67"/>
      <c r="AP371" s="67"/>
      <c r="AQ371" s="67"/>
      <c r="AR371" s="67"/>
      <c r="AS371" s="67"/>
      <c r="AT371" s="67"/>
      <c r="AU371" s="67"/>
      <c r="AV371" s="67"/>
      <c r="AW371" s="67"/>
      <c r="AX371" s="67"/>
      <c r="AY371" s="67"/>
      <c r="AZ371" s="67"/>
      <c r="BA371" s="67"/>
      <c r="BB371" s="67"/>
      <c r="BC371" s="67"/>
      <c r="BD371" s="67"/>
      <c r="BE371" s="67"/>
      <c r="BF371" s="67"/>
      <c r="BG371" s="67"/>
      <c r="BH371" s="67"/>
      <c r="BI371" s="67"/>
      <c r="BJ371" s="67"/>
      <c r="BK371" s="67"/>
      <c r="BL371" s="67"/>
      <c r="BM371" s="67"/>
      <c r="BN371" s="67"/>
      <c r="BO371" s="67"/>
      <c r="BP371" s="67"/>
      <c r="BQ371" s="67"/>
      <c r="BR371" s="67"/>
      <c r="BS371" s="67"/>
      <c r="BT371" s="67"/>
      <c r="BU371" s="67"/>
      <c r="BV371" s="67"/>
      <c r="BW371" s="67"/>
      <c r="BX371" s="67"/>
      <c r="BY371" s="67"/>
      <c r="BZ371" s="67"/>
      <c r="CA371" s="67"/>
      <c r="CB371" s="67"/>
      <c r="CC371" s="67"/>
      <c r="CD371" s="67"/>
      <c r="CE371" s="67"/>
      <c r="CF371" s="67"/>
      <c r="CG371" s="67"/>
      <c r="CH371" s="67"/>
      <c r="CI371" s="67"/>
      <c r="CJ371" s="67"/>
      <c r="CK371" s="67"/>
      <c r="CL371" s="67"/>
      <c r="CM371" s="67"/>
      <c r="CN371" s="67"/>
      <c r="CO371" s="67"/>
      <c r="CP371" s="67"/>
      <c r="CQ371" s="67"/>
      <c r="CR371" s="67"/>
      <c r="CS371" s="67"/>
      <c r="CT371" s="67"/>
      <c r="CU371" s="67"/>
      <c r="CV371" s="67"/>
      <c r="CW371" s="67"/>
      <c r="CX371" s="67"/>
      <c r="CY371" s="67"/>
      <c r="CZ371" s="67"/>
      <c r="DA371" s="67"/>
      <c r="DB371" s="67"/>
      <c r="DC371" s="67"/>
      <c r="DD371" s="67"/>
      <c r="DE371" s="67"/>
      <c r="DF371" s="67"/>
      <c r="DG371" s="67"/>
      <c r="DH371" s="67"/>
      <c r="DI371" s="67"/>
      <c r="DJ371" s="67"/>
      <c r="DK371" s="67"/>
      <c r="DL371" s="67"/>
      <c r="DM371" s="67"/>
      <c r="DN371" s="67"/>
      <c r="DO371" s="67"/>
      <c r="DP371" s="67"/>
      <c r="DQ371" s="67"/>
      <c r="DR371" s="67"/>
      <c r="DS371" s="67"/>
      <c r="DT371" s="67"/>
      <c r="DU371" s="67"/>
    </row>
    <row r="372" spans="1:125" x14ac:dyDescent="0.25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  <c r="AF372" s="67"/>
      <c r="AG372" s="67"/>
      <c r="AH372" s="67"/>
      <c r="AI372" s="67"/>
      <c r="AJ372" s="67"/>
      <c r="AK372" s="67"/>
      <c r="AL372" s="67"/>
      <c r="AM372" s="67"/>
      <c r="AN372" s="67"/>
      <c r="AO372" s="67"/>
      <c r="AP372" s="67"/>
      <c r="AQ372" s="67"/>
      <c r="AR372" s="67"/>
      <c r="AS372" s="67"/>
      <c r="AT372" s="67"/>
      <c r="AU372" s="67"/>
      <c r="AV372" s="67"/>
      <c r="AW372" s="67"/>
      <c r="AX372" s="67"/>
      <c r="AY372" s="67"/>
      <c r="AZ372" s="67"/>
      <c r="BA372" s="67"/>
      <c r="BB372" s="67"/>
      <c r="BC372" s="67"/>
      <c r="BD372" s="67"/>
      <c r="BE372" s="67"/>
      <c r="BF372" s="67"/>
      <c r="BG372" s="67"/>
      <c r="BH372" s="67"/>
      <c r="BI372" s="67"/>
      <c r="BJ372" s="67"/>
      <c r="BK372" s="67"/>
      <c r="BL372" s="67"/>
      <c r="BM372" s="67"/>
      <c r="BN372" s="67"/>
      <c r="BO372" s="67"/>
      <c r="BP372" s="67"/>
      <c r="BQ372" s="67"/>
      <c r="BR372" s="67"/>
      <c r="BS372" s="67"/>
      <c r="BT372" s="67"/>
      <c r="BU372" s="67"/>
      <c r="BV372" s="67"/>
      <c r="BW372" s="67"/>
      <c r="BX372" s="67"/>
      <c r="BY372" s="67"/>
      <c r="BZ372" s="67"/>
      <c r="CA372" s="67"/>
      <c r="CB372" s="67"/>
      <c r="CC372" s="67"/>
      <c r="CD372" s="67"/>
      <c r="CE372" s="67"/>
      <c r="CF372" s="67"/>
      <c r="CG372" s="67"/>
      <c r="CH372" s="67"/>
      <c r="CI372" s="67"/>
      <c r="CJ372" s="67"/>
      <c r="CK372" s="67"/>
      <c r="CL372" s="67"/>
      <c r="CM372" s="67"/>
      <c r="CN372" s="67"/>
      <c r="CO372" s="67"/>
      <c r="CP372" s="67"/>
      <c r="CQ372" s="67"/>
      <c r="CR372" s="67"/>
      <c r="CS372" s="67"/>
      <c r="CT372" s="67"/>
      <c r="CU372" s="67"/>
      <c r="CV372" s="67"/>
      <c r="CW372" s="67"/>
      <c r="CX372" s="67"/>
      <c r="CY372" s="67"/>
      <c r="CZ372" s="67"/>
      <c r="DA372" s="67"/>
      <c r="DB372" s="67"/>
      <c r="DC372" s="67"/>
      <c r="DD372" s="67"/>
      <c r="DE372" s="67"/>
      <c r="DF372" s="67"/>
      <c r="DG372" s="67"/>
      <c r="DH372" s="67"/>
      <c r="DI372" s="67"/>
      <c r="DJ372" s="67"/>
      <c r="DK372" s="67"/>
      <c r="DL372" s="67"/>
      <c r="DM372" s="67"/>
      <c r="DN372" s="67"/>
      <c r="DO372" s="67"/>
      <c r="DP372" s="67"/>
      <c r="DQ372" s="67"/>
      <c r="DR372" s="67"/>
      <c r="DS372" s="67"/>
      <c r="DT372" s="67"/>
      <c r="DU372" s="67"/>
    </row>
    <row r="373" spans="1:125" x14ac:dyDescent="0.25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  <c r="AF373" s="67"/>
      <c r="AG373" s="67"/>
      <c r="AH373" s="67"/>
      <c r="AI373" s="67"/>
      <c r="AJ373" s="67"/>
      <c r="AK373" s="67"/>
      <c r="AL373" s="67"/>
      <c r="AM373" s="67"/>
      <c r="AN373" s="67"/>
      <c r="AO373" s="67"/>
      <c r="AP373" s="67"/>
      <c r="AQ373" s="67"/>
      <c r="AR373" s="67"/>
      <c r="AS373" s="67"/>
      <c r="AT373" s="67"/>
      <c r="AU373" s="67"/>
      <c r="AV373" s="67"/>
      <c r="AW373" s="67"/>
      <c r="AX373" s="67"/>
      <c r="AY373" s="67"/>
      <c r="AZ373" s="67"/>
      <c r="BA373" s="67"/>
      <c r="BB373" s="67"/>
      <c r="BC373" s="67"/>
      <c r="BD373" s="67"/>
      <c r="BE373" s="67"/>
      <c r="BF373" s="67"/>
      <c r="BG373" s="67"/>
      <c r="BH373" s="67"/>
      <c r="BI373" s="67"/>
      <c r="BJ373" s="67"/>
      <c r="BK373" s="67"/>
      <c r="BL373" s="67"/>
      <c r="BM373" s="67"/>
      <c r="BN373" s="67"/>
      <c r="BO373" s="67"/>
      <c r="BP373" s="67"/>
      <c r="BQ373" s="67"/>
      <c r="BR373" s="67"/>
      <c r="BS373" s="67"/>
      <c r="BT373" s="67"/>
      <c r="BU373" s="67"/>
      <c r="BV373" s="67"/>
      <c r="BW373" s="67"/>
      <c r="BX373" s="67"/>
      <c r="BY373" s="67"/>
      <c r="BZ373" s="67"/>
      <c r="CA373" s="67"/>
      <c r="CB373" s="67"/>
      <c r="CC373" s="67"/>
      <c r="CD373" s="67"/>
      <c r="CE373" s="67"/>
      <c r="CF373" s="67"/>
      <c r="CG373" s="67"/>
      <c r="CH373" s="67"/>
      <c r="CI373" s="67"/>
      <c r="CJ373" s="67"/>
      <c r="CK373" s="67"/>
      <c r="CL373" s="67"/>
      <c r="CM373" s="67"/>
      <c r="CN373" s="67"/>
      <c r="CO373" s="67"/>
      <c r="CP373" s="67"/>
      <c r="CQ373" s="67"/>
      <c r="CR373" s="67"/>
      <c r="CS373" s="67"/>
      <c r="CT373" s="67"/>
      <c r="CU373" s="67"/>
      <c r="CV373" s="67"/>
      <c r="CW373" s="67"/>
      <c r="CX373" s="67"/>
      <c r="CY373" s="67"/>
      <c r="CZ373" s="67"/>
      <c r="DA373" s="67"/>
      <c r="DB373" s="67"/>
      <c r="DC373" s="67"/>
      <c r="DD373" s="67"/>
      <c r="DE373" s="67"/>
      <c r="DF373" s="67"/>
      <c r="DG373" s="67"/>
      <c r="DH373" s="67"/>
      <c r="DI373" s="67"/>
      <c r="DJ373" s="67"/>
      <c r="DK373" s="67"/>
      <c r="DL373" s="67"/>
      <c r="DM373" s="67"/>
      <c r="DN373" s="67"/>
      <c r="DO373" s="67"/>
      <c r="DP373" s="67"/>
      <c r="DQ373" s="67"/>
      <c r="DR373" s="67"/>
      <c r="DS373" s="67"/>
      <c r="DT373" s="67"/>
      <c r="DU373" s="67"/>
    </row>
    <row r="374" spans="1:125" x14ac:dyDescent="0.25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  <c r="AF374" s="67"/>
      <c r="AG374" s="67"/>
      <c r="AH374" s="67"/>
      <c r="AI374" s="67"/>
      <c r="AJ374" s="67"/>
      <c r="AK374" s="67"/>
      <c r="AL374" s="67"/>
      <c r="AM374" s="67"/>
      <c r="AN374" s="67"/>
      <c r="AO374" s="67"/>
      <c r="AP374" s="67"/>
      <c r="AQ374" s="67"/>
      <c r="AR374" s="67"/>
      <c r="AS374" s="67"/>
      <c r="AT374" s="67"/>
      <c r="AU374" s="67"/>
      <c r="AV374" s="67"/>
      <c r="AW374" s="67"/>
      <c r="AX374" s="67"/>
      <c r="AY374" s="67"/>
      <c r="AZ374" s="67"/>
      <c r="BA374" s="67"/>
      <c r="BB374" s="67"/>
      <c r="BC374" s="67"/>
      <c r="BD374" s="67"/>
      <c r="BE374" s="67"/>
      <c r="BF374" s="67"/>
      <c r="BG374" s="67"/>
      <c r="BH374" s="67"/>
      <c r="BI374" s="67"/>
      <c r="BJ374" s="67"/>
      <c r="BK374" s="67"/>
      <c r="BL374" s="67"/>
      <c r="BM374" s="67"/>
      <c r="BN374" s="67"/>
      <c r="BO374" s="67"/>
      <c r="BP374" s="67"/>
      <c r="BQ374" s="67"/>
      <c r="BR374" s="67"/>
      <c r="BS374" s="67"/>
      <c r="BT374" s="67"/>
      <c r="BU374" s="67"/>
      <c r="BV374" s="67"/>
      <c r="BW374" s="67"/>
      <c r="BX374" s="67"/>
      <c r="BY374" s="67"/>
      <c r="BZ374" s="67"/>
      <c r="CA374" s="67"/>
      <c r="CB374" s="67"/>
      <c r="CC374" s="67"/>
      <c r="CD374" s="67"/>
      <c r="CE374" s="67"/>
      <c r="CF374" s="67"/>
      <c r="CG374" s="67"/>
      <c r="CH374" s="67"/>
      <c r="CI374" s="67"/>
      <c r="CJ374" s="67"/>
      <c r="CK374" s="67"/>
      <c r="CL374" s="67"/>
      <c r="CM374" s="67"/>
      <c r="CN374" s="67"/>
      <c r="CO374" s="67"/>
      <c r="CP374" s="67"/>
      <c r="CQ374" s="67"/>
      <c r="CR374" s="67"/>
      <c r="CS374" s="67"/>
      <c r="CT374" s="67"/>
      <c r="CU374" s="67"/>
      <c r="CV374" s="67"/>
      <c r="CW374" s="67"/>
      <c r="CX374" s="67"/>
      <c r="CY374" s="67"/>
      <c r="CZ374" s="67"/>
      <c r="DA374" s="67"/>
      <c r="DB374" s="67"/>
      <c r="DC374" s="67"/>
      <c r="DD374" s="67"/>
      <c r="DE374" s="67"/>
      <c r="DF374" s="67"/>
      <c r="DG374" s="67"/>
      <c r="DH374" s="67"/>
      <c r="DI374" s="67"/>
      <c r="DJ374" s="67"/>
      <c r="DK374" s="67"/>
      <c r="DL374" s="67"/>
      <c r="DM374" s="67"/>
      <c r="DN374" s="67"/>
      <c r="DO374" s="67"/>
      <c r="DP374" s="67"/>
      <c r="DQ374" s="67"/>
      <c r="DR374" s="67"/>
      <c r="DS374" s="67"/>
      <c r="DT374" s="67"/>
      <c r="DU374" s="67"/>
    </row>
    <row r="375" spans="1:125" x14ac:dyDescent="0.25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  <c r="AF375" s="67"/>
      <c r="AG375" s="67"/>
      <c r="AH375" s="67"/>
      <c r="AI375" s="67"/>
      <c r="AJ375" s="67"/>
      <c r="AK375" s="67"/>
      <c r="AL375" s="67"/>
      <c r="AM375" s="67"/>
      <c r="AN375" s="67"/>
      <c r="AO375" s="67"/>
      <c r="AP375" s="67"/>
      <c r="AQ375" s="67"/>
      <c r="AR375" s="67"/>
      <c r="AS375" s="67"/>
      <c r="AT375" s="67"/>
      <c r="AU375" s="67"/>
      <c r="AV375" s="67"/>
      <c r="AW375" s="67"/>
      <c r="AX375" s="67"/>
      <c r="AY375" s="67"/>
      <c r="AZ375" s="67"/>
      <c r="BA375" s="67"/>
      <c r="BB375" s="67"/>
      <c r="BC375" s="67"/>
      <c r="BD375" s="67"/>
      <c r="BE375" s="67"/>
      <c r="BF375" s="67"/>
      <c r="BG375" s="67"/>
      <c r="BH375" s="67"/>
      <c r="BI375" s="67"/>
      <c r="BJ375" s="67"/>
      <c r="BK375" s="67"/>
      <c r="BL375" s="67"/>
      <c r="BM375" s="67"/>
      <c r="BN375" s="67"/>
      <c r="BO375" s="67"/>
      <c r="BP375" s="67"/>
      <c r="BQ375" s="67"/>
      <c r="BR375" s="67"/>
      <c r="BS375" s="67"/>
      <c r="BT375" s="67"/>
      <c r="BU375" s="67"/>
      <c r="BV375" s="67"/>
      <c r="BW375" s="67"/>
      <c r="BX375" s="67"/>
      <c r="BY375" s="67"/>
      <c r="BZ375" s="67"/>
      <c r="CA375" s="67"/>
      <c r="CB375" s="67"/>
      <c r="CC375" s="67"/>
      <c r="CD375" s="67"/>
      <c r="CE375" s="67"/>
      <c r="CF375" s="67"/>
      <c r="CG375" s="67"/>
      <c r="CH375" s="67"/>
      <c r="CI375" s="67"/>
      <c r="CJ375" s="67"/>
      <c r="CK375" s="67"/>
      <c r="CL375" s="67"/>
      <c r="CM375" s="67"/>
      <c r="CN375" s="67"/>
      <c r="CO375" s="67"/>
      <c r="CP375" s="67"/>
      <c r="CQ375" s="67"/>
      <c r="CR375" s="67"/>
      <c r="CS375" s="67"/>
      <c r="CT375" s="67"/>
      <c r="CU375" s="67"/>
      <c r="CV375" s="67"/>
      <c r="CW375" s="67"/>
      <c r="CX375" s="67"/>
      <c r="CY375" s="67"/>
      <c r="CZ375" s="67"/>
      <c r="DA375" s="67"/>
      <c r="DB375" s="67"/>
      <c r="DC375" s="67"/>
      <c r="DD375" s="67"/>
      <c r="DE375" s="67"/>
      <c r="DF375" s="67"/>
      <c r="DG375" s="67"/>
      <c r="DH375" s="67"/>
      <c r="DI375" s="67"/>
      <c r="DJ375" s="67"/>
      <c r="DK375" s="67"/>
      <c r="DL375" s="67"/>
      <c r="DM375" s="67"/>
      <c r="DN375" s="67"/>
      <c r="DO375" s="67"/>
      <c r="DP375" s="67"/>
      <c r="DQ375" s="67"/>
      <c r="DR375" s="67"/>
      <c r="DS375" s="67"/>
      <c r="DT375" s="67"/>
      <c r="DU375" s="67"/>
    </row>
    <row r="376" spans="1:125" x14ac:dyDescent="0.25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  <c r="AF376" s="67"/>
      <c r="AG376" s="67"/>
      <c r="AH376" s="67"/>
      <c r="AI376" s="67"/>
      <c r="AJ376" s="67"/>
      <c r="AK376" s="67"/>
      <c r="AL376" s="67"/>
      <c r="AM376" s="67"/>
      <c r="AN376" s="67"/>
      <c r="AO376" s="67"/>
      <c r="AP376" s="67"/>
      <c r="AQ376" s="67"/>
      <c r="AR376" s="67"/>
      <c r="AS376" s="67"/>
      <c r="AT376" s="67"/>
      <c r="AU376" s="67"/>
      <c r="AV376" s="67"/>
      <c r="AW376" s="67"/>
      <c r="AX376" s="67"/>
      <c r="AY376" s="67"/>
      <c r="AZ376" s="67"/>
      <c r="BA376" s="67"/>
      <c r="BB376" s="67"/>
      <c r="BC376" s="67"/>
      <c r="BD376" s="67"/>
      <c r="BE376" s="67"/>
      <c r="BF376" s="67"/>
      <c r="BG376" s="67"/>
      <c r="BH376" s="67"/>
      <c r="BI376" s="67"/>
      <c r="BJ376" s="67"/>
      <c r="BK376" s="67"/>
      <c r="BL376" s="67"/>
      <c r="BM376" s="67"/>
      <c r="BN376" s="67"/>
      <c r="BO376" s="67"/>
      <c r="BP376" s="67"/>
      <c r="BQ376" s="67"/>
      <c r="BR376" s="67"/>
      <c r="BS376" s="67"/>
      <c r="BT376" s="67"/>
      <c r="BU376" s="67"/>
      <c r="BV376" s="67"/>
      <c r="BW376" s="67"/>
      <c r="BX376" s="67"/>
      <c r="BY376" s="67"/>
      <c r="BZ376" s="67"/>
      <c r="CA376" s="67"/>
      <c r="CB376" s="67"/>
      <c r="CC376" s="67"/>
      <c r="CD376" s="67"/>
      <c r="CE376" s="67"/>
      <c r="CF376" s="67"/>
      <c r="CG376" s="67"/>
      <c r="CH376" s="67"/>
      <c r="CI376" s="67"/>
      <c r="CJ376" s="67"/>
      <c r="CK376" s="67"/>
      <c r="CL376" s="67"/>
      <c r="CM376" s="67"/>
      <c r="CN376" s="67"/>
      <c r="CO376" s="67"/>
      <c r="CP376" s="67"/>
      <c r="CQ376" s="67"/>
      <c r="CR376" s="67"/>
      <c r="CS376" s="67"/>
      <c r="CT376" s="67"/>
      <c r="CU376" s="67"/>
      <c r="CV376" s="67"/>
      <c r="CW376" s="67"/>
      <c r="CX376" s="67"/>
      <c r="CY376" s="67"/>
      <c r="CZ376" s="67"/>
      <c r="DA376" s="67"/>
      <c r="DB376" s="67"/>
      <c r="DC376" s="67"/>
      <c r="DD376" s="67"/>
      <c r="DE376" s="67"/>
      <c r="DF376" s="67"/>
      <c r="DG376" s="67"/>
      <c r="DH376" s="67"/>
      <c r="DI376" s="67"/>
      <c r="DJ376" s="67"/>
      <c r="DK376" s="67"/>
      <c r="DL376" s="67"/>
      <c r="DM376" s="67"/>
      <c r="DN376" s="67"/>
      <c r="DO376" s="67"/>
      <c r="DP376" s="67"/>
      <c r="DQ376" s="67"/>
      <c r="DR376" s="67"/>
      <c r="DS376" s="67"/>
      <c r="DT376" s="67"/>
      <c r="DU376" s="67"/>
    </row>
    <row r="377" spans="1:125" x14ac:dyDescent="0.25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  <c r="AF377" s="67"/>
      <c r="AG377" s="67"/>
      <c r="AH377" s="67"/>
      <c r="AI377" s="67"/>
      <c r="AJ377" s="67"/>
      <c r="AK377" s="67"/>
      <c r="AL377" s="67"/>
      <c r="AM377" s="67"/>
      <c r="AN377" s="67"/>
      <c r="AO377" s="67"/>
      <c r="AP377" s="67"/>
      <c r="AQ377" s="67"/>
      <c r="AR377" s="67"/>
      <c r="AS377" s="67"/>
      <c r="AT377" s="67"/>
      <c r="AU377" s="67"/>
      <c r="AV377" s="67"/>
      <c r="AW377" s="67"/>
      <c r="AX377" s="67"/>
      <c r="AY377" s="67"/>
      <c r="AZ377" s="67"/>
      <c r="BA377" s="67"/>
      <c r="BB377" s="67"/>
      <c r="BC377" s="67"/>
      <c r="BD377" s="67"/>
      <c r="BE377" s="67"/>
      <c r="BF377" s="67"/>
      <c r="BG377" s="67"/>
      <c r="BH377" s="67"/>
      <c r="BI377" s="67"/>
      <c r="BJ377" s="67"/>
      <c r="BK377" s="67"/>
      <c r="BL377" s="67"/>
      <c r="BM377" s="67"/>
      <c r="BN377" s="67"/>
      <c r="BO377" s="67"/>
      <c r="BP377" s="67"/>
      <c r="BQ377" s="67"/>
      <c r="BR377" s="67"/>
      <c r="BS377" s="67"/>
      <c r="BT377" s="67"/>
      <c r="BU377" s="67"/>
      <c r="BV377" s="67"/>
      <c r="BW377" s="67"/>
      <c r="BX377" s="67"/>
      <c r="BY377" s="67"/>
      <c r="BZ377" s="67"/>
      <c r="CA377" s="67"/>
      <c r="CB377" s="67"/>
      <c r="CC377" s="67"/>
      <c r="CD377" s="67"/>
      <c r="CE377" s="67"/>
      <c r="CF377" s="67"/>
      <c r="CG377" s="67"/>
      <c r="CH377" s="67"/>
      <c r="CI377" s="67"/>
      <c r="CJ377" s="67"/>
      <c r="CK377" s="67"/>
      <c r="CL377" s="67"/>
      <c r="CM377" s="67"/>
      <c r="CN377" s="67"/>
      <c r="CO377" s="67"/>
      <c r="CP377" s="67"/>
      <c r="CQ377" s="67"/>
      <c r="CR377" s="67"/>
      <c r="CS377" s="67"/>
      <c r="CT377" s="67"/>
      <c r="CU377" s="67"/>
      <c r="CV377" s="67"/>
      <c r="CW377" s="67"/>
      <c r="CX377" s="67"/>
      <c r="CY377" s="67"/>
      <c r="CZ377" s="67"/>
      <c r="DA377" s="67"/>
      <c r="DB377" s="67"/>
      <c r="DC377" s="67"/>
      <c r="DD377" s="67"/>
      <c r="DE377" s="67"/>
      <c r="DF377" s="67"/>
      <c r="DG377" s="67"/>
      <c r="DH377" s="67"/>
      <c r="DI377" s="67"/>
      <c r="DJ377" s="67"/>
      <c r="DK377" s="67"/>
      <c r="DL377" s="67"/>
      <c r="DM377" s="67"/>
      <c r="DN377" s="67"/>
      <c r="DO377" s="67"/>
      <c r="DP377" s="67"/>
      <c r="DQ377" s="67"/>
      <c r="DR377" s="67"/>
      <c r="DS377" s="67"/>
      <c r="DT377" s="67"/>
      <c r="DU377" s="67"/>
    </row>
    <row r="378" spans="1:125" x14ac:dyDescent="0.25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  <c r="AF378" s="67"/>
      <c r="AG378" s="67"/>
      <c r="AH378" s="67"/>
      <c r="AI378" s="67"/>
      <c r="AJ378" s="67"/>
      <c r="AK378" s="67"/>
      <c r="AL378" s="67"/>
      <c r="AM378" s="67"/>
      <c r="AN378" s="67"/>
      <c r="AO378" s="67"/>
      <c r="AP378" s="67"/>
      <c r="AQ378" s="67"/>
      <c r="AR378" s="67"/>
      <c r="AS378" s="67"/>
      <c r="AT378" s="67"/>
      <c r="AU378" s="67"/>
      <c r="AV378" s="67"/>
      <c r="AW378" s="67"/>
      <c r="AX378" s="67"/>
      <c r="AY378" s="67"/>
      <c r="AZ378" s="67"/>
      <c r="BA378" s="67"/>
      <c r="BB378" s="67"/>
      <c r="BC378" s="67"/>
      <c r="BD378" s="67"/>
      <c r="BE378" s="67"/>
      <c r="BF378" s="67"/>
      <c r="BG378" s="67"/>
      <c r="BH378" s="67"/>
      <c r="BI378" s="67"/>
      <c r="BJ378" s="67"/>
      <c r="BK378" s="67"/>
      <c r="BL378" s="67"/>
      <c r="BM378" s="67"/>
      <c r="BN378" s="67"/>
      <c r="BO378" s="67"/>
      <c r="BP378" s="67"/>
      <c r="BQ378" s="67"/>
      <c r="BR378" s="67"/>
      <c r="BS378" s="67"/>
      <c r="BT378" s="67"/>
      <c r="BU378" s="67"/>
      <c r="BV378" s="67"/>
      <c r="BW378" s="67"/>
      <c r="BX378" s="67"/>
      <c r="BY378" s="67"/>
      <c r="BZ378" s="67"/>
      <c r="CA378" s="67"/>
      <c r="CB378" s="67"/>
      <c r="CC378" s="67"/>
      <c r="CD378" s="67"/>
      <c r="CE378" s="67"/>
      <c r="CF378" s="67"/>
      <c r="CG378" s="67"/>
      <c r="CH378" s="67"/>
      <c r="CI378" s="67"/>
      <c r="CJ378" s="67"/>
      <c r="CK378" s="67"/>
      <c r="CL378" s="67"/>
      <c r="CM378" s="67"/>
      <c r="CN378" s="67"/>
      <c r="CO378" s="67"/>
      <c r="CP378" s="67"/>
      <c r="CQ378" s="67"/>
      <c r="CR378" s="67"/>
      <c r="CS378" s="67"/>
      <c r="CT378" s="67"/>
      <c r="CU378" s="67"/>
      <c r="CV378" s="67"/>
      <c r="CW378" s="67"/>
      <c r="CX378" s="67"/>
      <c r="CY378" s="67"/>
      <c r="CZ378" s="67"/>
      <c r="DA378" s="67"/>
      <c r="DB378" s="67"/>
      <c r="DC378" s="67"/>
      <c r="DD378" s="67"/>
      <c r="DE378" s="67"/>
      <c r="DF378" s="67"/>
      <c r="DG378" s="67"/>
      <c r="DH378" s="67"/>
      <c r="DI378" s="67"/>
      <c r="DJ378" s="67"/>
      <c r="DK378" s="67"/>
      <c r="DL378" s="67"/>
      <c r="DM378" s="67"/>
      <c r="DN378" s="67"/>
      <c r="DO378" s="67"/>
      <c r="DP378" s="67"/>
      <c r="DQ378" s="67"/>
      <c r="DR378" s="67"/>
      <c r="DS378" s="67"/>
      <c r="DT378" s="67"/>
      <c r="DU378" s="67"/>
    </row>
    <row r="379" spans="1:125" x14ac:dyDescent="0.25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  <c r="AF379" s="67"/>
      <c r="AG379" s="67"/>
      <c r="AH379" s="67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7"/>
      <c r="AT379" s="67"/>
      <c r="AU379" s="67"/>
      <c r="AV379" s="67"/>
      <c r="AW379" s="67"/>
      <c r="AX379" s="67"/>
      <c r="AY379" s="67"/>
      <c r="AZ379" s="67"/>
      <c r="BA379" s="67"/>
      <c r="BB379" s="67"/>
      <c r="BC379" s="67"/>
      <c r="BD379" s="67"/>
      <c r="BE379" s="67"/>
      <c r="BF379" s="67"/>
      <c r="BG379" s="67"/>
      <c r="BH379" s="67"/>
      <c r="BI379" s="67"/>
      <c r="BJ379" s="67"/>
      <c r="BK379" s="67"/>
      <c r="BL379" s="67"/>
      <c r="BM379" s="67"/>
      <c r="BN379" s="67"/>
      <c r="BO379" s="67"/>
      <c r="BP379" s="67"/>
      <c r="BQ379" s="67"/>
      <c r="BR379" s="67"/>
      <c r="BS379" s="67"/>
      <c r="BT379" s="67"/>
      <c r="BU379" s="67"/>
      <c r="BV379" s="67"/>
      <c r="BW379" s="67"/>
      <c r="BX379" s="67"/>
      <c r="BY379" s="67"/>
      <c r="BZ379" s="67"/>
      <c r="CA379" s="67"/>
      <c r="CB379" s="67"/>
      <c r="CC379" s="67"/>
      <c r="CD379" s="67"/>
      <c r="CE379" s="67"/>
      <c r="CF379" s="67"/>
      <c r="CG379" s="67"/>
      <c r="CH379" s="67"/>
      <c r="CI379" s="67"/>
      <c r="CJ379" s="67"/>
      <c r="CK379" s="67"/>
      <c r="CL379" s="67"/>
      <c r="CM379" s="67"/>
      <c r="CN379" s="67"/>
      <c r="CO379" s="67"/>
      <c r="CP379" s="67"/>
      <c r="CQ379" s="67"/>
      <c r="CR379" s="67"/>
      <c r="CS379" s="67"/>
      <c r="CT379" s="67"/>
      <c r="CU379" s="67"/>
      <c r="CV379" s="67"/>
      <c r="CW379" s="67"/>
      <c r="CX379" s="67"/>
      <c r="CY379" s="67"/>
      <c r="CZ379" s="67"/>
      <c r="DA379" s="67"/>
      <c r="DB379" s="67"/>
      <c r="DC379" s="67"/>
      <c r="DD379" s="67"/>
      <c r="DE379" s="67"/>
      <c r="DF379" s="67"/>
      <c r="DG379" s="67"/>
      <c r="DH379" s="67"/>
      <c r="DI379" s="67"/>
      <c r="DJ379" s="67"/>
      <c r="DK379" s="67"/>
      <c r="DL379" s="67"/>
      <c r="DM379" s="67"/>
      <c r="DN379" s="67"/>
      <c r="DO379" s="67"/>
      <c r="DP379" s="67"/>
      <c r="DQ379" s="67"/>
      <c r="DR379" s="67"/>
      <c r="DS379" s="67"/>
      <c r="DT379" s="67"/>
      <c r="DU379" s="67"/>
    </row>
    <row r="380" spans="1:125" x14ac:dyDescent="0.25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  <c r="AF380" s="67"/>
      <c r="AG380" s="67"/>
      <c r="AH380" s="67"/>
      <c r="AI380" s="67"/>
      <c r="AJ380" s="67"/>
      <c r="AK380" s="67"/>
      <c r="AL380" s="67"/>
      <c r="AM380" s="67"/>
      <c r="AN380" s="67"/>
      <c r="AO380" s="67"/>
      <c r="AP380" s="67"/>
      <c r="AQ380" s="67"/>
      <c r="AR380" s="67"/>
      <c r="AS380" s="67"/>
      <c r="AT380" s="67"/>
      <c r="AU380" s="67"/>
      <c r="AV380" s="67"/>
      <c r="AW380" s="67"/>
      <c r="AX380" s="67"/>
      <c r="AY380" s="67"/>
      <c r="AZ380" s="67"/>
      <c r="BA380" s="67"/>
      <c r="BB380" s="67"/>
      <c r="BC380" s="67"/>
      <c r="BD380" s="67"/>
      <c r="BE380" s="67"/>
      <c r="BF380" s="67"/>
      <c r="BG380" s="67"/>
      <c r="BH380" s="67"/>
      <c r="BI380" s="67"/>
      <c r="BJ380" s="67"/>
      <c r="BK380" s="67"/>
      <c r="BL380" s="67"/>
      <c r="BM380" s="67"/>
      <c r="BN380" s="67"/>
      <c r="BO380" s="67"/>
      <c r="BP380" s="67"/>
      <c r="BQ380" s="67"/>
      <c r="BR380" s="67"/>
      <c r="BS380" s="67"/>
      <c r="BT380" s="67"/>
      <c r="BU380" s="67"/>
      <c r="BV380" s="67"/>
      <c r="BW380" s="67"/>
      <c r="BX380" s="67"/>
      <c r="BY380" s="67"/>
      <c r="BZ380" s="67"/>
      <c r="CA380" s="67"/>
      <c r="CB380" s="67"/>
      <c r="CC380" s="67"/>
      <c r="CD380" s="67"/>
      <c r="CE380" s="67"/>
      <c r="CF380" s="67"/>
      <c r="CG380" s="67"/>
      <c r="CH380" s="67"/>
      <c r="CI380" s="67"/>
      <c r="CJ380" s="67"/>
      <c r="CK380" s="67"/>
      <c r="CL380" s="67"/>
      <c r="CM380" s="67"/>
      <c r="CN380" s="67"/>
      <c r="CO380" s="67"/>
      <c r="CP380" s="67"/>
      <c r="CQ380" s="67"/>
      <c r="CR380" s="67"/>
      <c r="CS380" s="67"/>
      <c r="CT380" s="67"/>
      <c r="CU380" s="67"/>
      <c r="CV380" s="67"/>
      <c r="CW380" s="67"/>
      <c r="CX380" s="67"/>
      <c r="CY380" s="67"/>
      <c r="CZ380" s="67"/>
      <c r="DA380" s="67"/>
      <c r="DB380" s="67"/>
      <c r="DC380" s="67"/>
      <c r="DD380" s="67"/>
      <c r="DE380" s="67"/>
      <c r="DF380" s="67"/>
      <c r="DG380" s="67"/>
      <c r="DH380" s="67"/>
      <c r="DI380" s="67"/>
      <c r="DJ380" s="67"/>
      <c r="DK380" s="67"/>
      <c r="DL380" s="67"/>
      <c r="DM380" s="67"/>
      <c r="DN380" s="67"/>
      <c r="DO380" s="67"/>
      <c r="DP380" s="67"/>
      <c r="DQ380" s="67"/>
      <c r="DR380" s="67"/>
      <c r="DS380" s="67"/>
      <c r="DT380" s="67"/>
      <c r="DU380" s="67"/>
    </row>
    <row r="381" spans="1:125" x14ac:dyDescent="0.25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  <c r="AF381" s="67"/>
      <c r="AG381" s="67"/>
      <c r="AH381" s="67"/>
      <c r="AI381" s="67"/>
      <c r="AJ381" s="67"/>
      <c r="AK381" s="67"/>
      <c r="AL381" s="67"/>
      <c r="AM381" s="67"/>
      <c r="AN381" s="67"/>
      <c r="AO381" s="67"/>
      <c r="AP381" s="67"/>
      <c r="AQ381" s="67"/>
      <c r="AR381" s="67"/>
      <c r="AS381" s="67"/>
      <c r="AT381" s="67"/>
      <c r="AU381" s="67"/>
      <c r="AV381" s="67"/>
      <c r="AW381" s="67"/>
      <c r="AX381" s="67"/>
      <c r="AY381" s="67"/>
      <c r="AZ381" s="67"/>
      <c r="BA381" s="67"/>
      <c r="BB381" s="67"/>
      <c r="BC381" s="67"/>
      <c r="BD381" s="67"/>
      <c r="BE381" s="67"/>
      <c r="BF381" s="67"/>
      <c r="BG381" s="67"/>
      <c r="BH381" s="67"/>
      <c r="BI381" s="67"/>
      <c r="BJ381" s="67"/>
      <c r="BK381" s="67"/>
      <c r="BL381" s="67"/>
      <c r="BM381" s="67"/>
      <c r="BN381" s="67"/>
      <c r="BO381" s="67"/>
      <c r="BP381" s="67"/>
      <c r="BQ381" s="67"/>
      <c r="BR381" s="67"/>
      <c r="BS381" s="67"/>
      <c r="BT381" s="67"/>
      <c r="BU381" s="67"/>
      <c r="BV381" s="67"/>
      <c r="BW381" s="67"/>
      <c r="BX381" s="67"/>
      <c r="BY381" s="67"/>
      <c r="BZ381" s="67"/>
      <c r="CA381" s="67"/>
      <c r="CB381" s="67"/>
      <c r="CC381" s="67"/>
      <c r="CD381" s="67"/>
      <c r="CE381" s="67"/>
      <c r="CF381" s="67"/>
      <c r="CG381" s="67"/>
      <c r="CH381" s="67"/>
      <c r="CI381" s="67"/>
      <c r="CJ381" s="67"/>
      <c r="CK381" s="67"/>
      <c r="CL381" s="67"/>
      <c r="CM381" s="67"/>
      <c r="CN381" s="67"/>
      <c r="CO381" s="67"/>
      <c r="CP381" s="67"/>
      <c r="CQ381" s="67"/>
      <c r="CR381" s="67"/>
      <c r="CS381" s="67"/>
      <c r="CT381" s="67"/>
      <c r="CU381" s="67"/>
      <c r="CV381" s="67"/>
      <c r="CW381" s="67"/>
      <c r="CX381" s="67"/>
      <c r="CY381" s="67"/>
      <c r="CZ381" s="67"/>
      <c r="DA381" s="67"/>
      <c r="DB381" s="67"/>
      <c r="DC381" s="67"/>
      <c r="DD381" s="67"/>
      <c r="DE381" s="67"/>
      <c r="DF381" s="67"/>
      <c r="DG381" s="67"/>
      <c r="DH381" s="67"/>
      <c r="DI381" s="67"/>
      <c r="DJ381" s="67"/>
      <c r="DK381" s="67"/>
      <c r="DL381" s="67"/>
      <c r="DM381" s="67"/>
      <c r="DN381" s="67"/>
      <c r="DO381" s="67"/>
      <c r="DP381" s="67"/>
      <c r="DQ381" s="67"/>
      <c r="DR381" s="67"/>
      <c r="DS381" s="67"/>
      <c r="DT381" s="67"/>
      <c r="DU381" s="67"/>
    </row>
    <row r="382" spans="1:125" x14ac:dyDescent="0.25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  <c r="AF382" s="67"/>
      <c r="AG382" s="67"/>
      <c r="AH382" s="67"/>
      <c r="AI382" s="67"/>
      <c r="AJ382" s="67"/>
      <c r="AK382" s="67"/>
      <c r="AL382" s="67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  <c r="AX382" s="67"/>
      <c r="AY382" s="67"/>
      <c r="AZ382" s="67"/>
      <c r="BA382" s="67"/>
      <c r="BB382" s="67"/>
      <c r="BC382" s="67"/>
      <c r="BD382" s="67"/>
      <c r="BE382" s="67"/>
      <c r="BF382" s="67"/>
      <c r="BG382" s="67"/>
      <c r="BH382" s="67"/>
      <c r="BI382" s="67"/>
      <c r="BJ382" s="67"/>
      <c r="BK382" s="67"/>
      <c r="BL382" s="67"/>
      <c r="BM382" s="67"/>
      <c r="BN382" s="67"/>
      <c r="BO382" s="67"/>
      <c r="BP382" s="67"/>
      <c r="BQ382" s="67"/>
      <c r="BR382" s="67"/>
      <c r="BS382" s="67"/>
      <c r="BT382" s="67"/>
      <c r="BU382" s="67"/>
      <c r="BV382" s="67"/>
      <c r="BW382" s="67"/>
      <c r="BX382" s="67"/>
      <c r="BY382" s="67"/>
      <c r="BZ382" s="67"/>
      <c r="CA382" s="67"/>
      <c r="CB382" s="67"/>
      <c r="CC382" s="67"/>
      <c r="CD382" s="67"/>
      <c r="CE382" s="67"/>
      <c r="CF382" s="67"/>
      <c r="CG382" s="67"/>
      <c r="CH382" s="67"/>
      <c r="CI382" s="67"/>
      <c r="CJ382" s="67"/>
      <c r="CK382" s="67"/>
      <c r="CL382" s="67"/>
      <c r="CM382" s="67"/>
      <c r="CN382" s="67"/>
      <c r="CO382" s="67"/>
      <c r="CP382" s="67"/>
      <c r="CQ382" s="67"/>
      <c r="CR382" s="67"/>
      <c r="CS382" s="67"/>
      <c r="CT382" s="67"/>
      <c r="CU382" s="67"/>
      <c r="CV382" s="67"/>
      <c r="CW382" s="67"/>
      <c r="CX382" s="67"/>
      <c r="CY382" s="67"/>
      <c r="CZ382" s="67"/>
      <c r="DA382" s="67"/>
      <c r="DB382" s="67"/>
      <c r="DC382" s="67"/>
      <c r="DD382" s="67"/>
      <c r="DE382" s="67"/>
      <c r="DF382" s="67"/>
      <c r="DG382" s="67"/>
      <c r="DH382" s="67"/>
      <c r="DI382" s="67"/>
      <c r="DJ382" s="67"/>
      <c r="DK382" s="67"/>
      <c r="DL382" s="67"/>
      <c r="DM382" s="67"/>
      <c r="DN382" s="67"/>
      <c r="DO382" s="67"/>
      <c r="DP382" s="67"/>
      <c r="DQ382" s="67"/>
      <c r="DR382" s="67"/>
      <c r="DS382" s="67"/>
      <c r="DT382" s="67"/>
      <c r="DU382" s="67"/>
    </row>
    <row r="383" spans="1:125" x14ac:dyDescent="0.25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/>
      <c r="AH383" s="67"/>
      <c r="AI383" s="67"/>
      <c r="AJ383" s="67"/>
      <c r="AK383" s="67"/>
      <c r="AL383" s="67"/>
      <c r="AM383" s="67"/>
      <c r="AN383" s="67"/>
      <c r="AO383" s="67"/>
      <c r="AP383" s="67"/>
      <c r="AQ383" s="67"/>
      <c r="AR383" s="67"/>
      <c r="AS383" s="67"/>
      <c r="AT383" s="67"/>
      <c r="AU383" s="67"/>
      <c r="AV383" s="67"/>
      <c r="AW383" s="67"/>
      <c r="AX383" s="67"/>
      <c r="AY383" s="67"/>
      <c r="AZ383" s="67"/>
      <c r="BA383" s="67"/>
      <c r="BB383" s="67"/>
      <c r="BC383" s="67"/>
      <c r="BD383" s="67"/>
      <c r="BE383" s="67"/>
      <c r="BF383" s="67"/>
      <c r="BG383" s="67"/>
      <c r="BH383" s="67"/>
      <c r="BI383" s="67"/>
      <c r="BJ383" s="67"/>
      <c r="BK383" s="67"/>
      <c r="BL383" s="67"/>
      <c r="BM383" s="67"/>
      <c r="BN383" s="67"/>
      <c r="BO383" s="67"/>
      <c r="BP383" s="67"/>
      <c r="BQ383" s="67"/>
      <c r="BR383" s="67"/>
      <c r="BS383" s="67"/>
      <c r="BT383" s="67"/>
      <c r="BU383" s="67"/>
      <c r="BV383" s="67"/>
      <c r="BW383" s="67"/>
      <c r="BX383" s="67"/>
      <c r="BY383" s="67"/>
      <c r="BZ383" s="67"/>
      <c r="CA383" s="67"/>
      <c r="CB383" s="67"/>
      <c r="CC383" s="67"/>
      <c r="CD383" s="67"/>
      <c r="CE383" s="67"/>
      <c r="CF383" s="67"/>
      <c r="CG383" s="67"/>
      <c r="CH383" s="67"/>
      <c r="CI383" s="67"/>
      <c r="CJ383" s="67"/>
      <c r="CK383" s="67"/>
      <c r="CL383" s="67"/>
      <c r="CM383" s="67"/>
      <c r="CN383" s="67"/>
      <c r="CO383" s="67"/>
      <c r="CP383" s="67"/>
      <c r="CQ383" s="67"/>
      <c r="CR383" s="67"/>
      <c r="CS383" s="67"/>
      <c r="CT383" s="67"/>
      <c r="CU383" s="67"/>
      <c r="CV383" s="67"/>
      <c r="CW383" s="67"/>
      <c r="CX383" s="67"/>
      <c r="CY383" s="67"/>
      <c r="CZ383" s="67"/>
      <c r="DA383" s="67"/>
      <c r="DB383" s="67"/>
      <c r="DC383" s="67"/>
      <c r="DD383" s="67"/>
      <c r="DE383" s="67"/>
      <c r="DF383" s="67"/>
      <c r="DG383" s="67"/>
      <c r="DH383" s="67"/>
      <c r="DI383" s="67"/>
      <c r="DJ383" s="67"/>
      <c r="DK383" s="67"/>
      <c r="DL383" s="67"/>
      <c r="DM383" s="67"/>
      <c r="DN383" s="67"/>
      <c r="DO383" s="67"/>
      <c r="DP383" s="67"/>
      <c r="DQ383" s="67"/>
      <c r="DR383" s="67"/>
      <c r="DS383" s="67"/>
      <c r="DT383" s="67"/>
      <c r="DU383" s="67"/>
    </row>
    <row r="384" spans="1:125" x14ac:dyDescent="0.25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/>
      <c r="AH384" s="67"/>
      <c r="AI384" s="67"/>
      <c r="AJ384" s="67"/>
      <c r="AK384" s="67"/>
      <c r="AL384" s="67"/>
      <c r="AM384" s="67"/>
      <c r="AN384" s="67"/>
      <c r="AO384" s="67"/>
      <c r="AP384" s="67"/>
      <c r="AQ384" s="67"/>
      <c r="AR384" s="67"/>
      <c r="AS384" s="67"/>
      <c r="AT384" s="67"/>
      <c r="AU384" s="67"/>
      <c r="AV384" s="67"/>
      <c r="AW384" s="67"/>
      <c r="AX384" s="67"/>
      <c r="AY384" s="67"/>
      <c r="AZ384" s="67"/>
      <c r="BA384" s="67"/>
      <c r="BB384" s="67"/>
      <c r="BC384" s="67"/>
      <c r="BD384" s="67"/>
      <c r="BE384" s="67"/>
      <c r="BF384" s="67"/>
      <c r="BG384" s="67"/>
      <c r="BH384" s="67"/>
      <c r="BI384" s="67"/>
      <c r="BJ384" s="67"/>
      <c r="BK384" s="67"/>
      <c r="BL384" s="67"/>
      <c r="BM384" s="67"/>
      <c r="BN384" s="67"/>
      <c r="BO384" s="67"/>
      <c r="BP384" s="67"/>
      <c r="BQ384" s="67"/>
      <c r="BR384" s="67"/>
      <c r="BS384" s="67"/>
      <c r="BT384" s="67"/>
      <c r="BU384" s="67"/>
      <c r="BV384" s="67"/>
      <c r="BW384" s="67"/>
      <c r="BX384" s="67"/>
      <c r="BY384" s="67"/>
      <c r="BZ384" s="67"/>
      <c r="CA384" s="67"/>
      <c r="CB384" s="67"/>
      <c r="CC384" s="67"/>
      <c r="CD384" s="67"/>
      <c r="CE384" s="67"/>
      <c r="CF384" s="67"/>
      <c r="CG384" s="67"/>
      <c r="CH384" s="67"/>
      <c r="CI384" s="67"/>
      <c r="CJ384" s="67"/>
      <c r="CK384" s="67"/>
      <c r="CL384" s="67"/>
      <c r="CM384" s="67"/>
      <c r="CN384" s="67"/>
      <c r="CO384" s="67"/>
      <c r="CP384" s="67"/>
      <c r="CQ384" s="67"/>
      <c r="CR384" s="67"/>
      <c r="CS384" s="67"/>
      <c r="CT384" s="67"/>
      <c r="CU384" s="67"/>
      <c r="CV384" s="67"/>
      <c r="CW384" s="67"/>
      <c r="CX384" s="67"/>
      <c r="CY384" s="67"/>
      <c r="CZ384" s="67"/>
      <c r="DA384" s="67"/>
      <c r="DB384" s="67"/>
      <c r="DC384" s="67"/>
      <c r="DD384" s="67"/>
      <c r="DE384" s="67"/>
      <c r="DF384" s="67"/>
      <c r="DG384" s="67"/>
      <c r="DH384" s="67"/>
      <c r="DI384" s="67"/>
      <c r="DJ384" s="67"/>
      <c r="DK384" s="67"/>
      <c r="DL384" s="67"/>
      <c r="DM384" s="67"/>
      <c r="DN384" s="67"/>
      <c r="DO384" s="67"/>
      <c r="DP384" s="67"/>
      <c r="DQ384" s="67"/>
      <c r="DR384" s="67"/>
      <c r="DS384" s="67"/>
      <c r="DT384" s="67"/>
      <c r="DU384" s="67"/>
    </row>
    <row r="385" spans="1:125" x14ac:dyDescent="0.25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/>
      <c r="AH385" s="67"/>
      <c r="AI385" s="67"/>
      <c r="AJ385" s="67"/>
      <c r="AK385" s="67"/>
      <c r="AL385" s="67"/>
      <c r="AM385" s="67"/>
      <c r="AN385" s="67"/>
      <c r="AO385" s="67"/>
      <c r="AP385" s="67"/>
      <c r="AQ385" s="67"/>
      <c r="AR385" s="67"/>
      <c r="AS385" s="67"/>
      <c r="AT385" s="67"/>
      <c r="AU385" s="67"/>
      <c r="AV385" s="67"/>
      <c r="AW385" s="67"/>
      <c r="AX385" s="67"/>
      <c r="AY385" s="67"/>
      <c r="AZ385" s="67"/>
      <c r="BA385" s="67"/>
      <c r="BB385" s="67"/>
      <c r="BC385" s="67"/>
      <c r="BD385" s="67"/>
      <c r="BE385" s="67"/>
      <c r="BF385" s="67"/>
      <c r="BG385" s="67"/>
      <c r="BH385" s="67"/>
      <c r="BI385" s="67"/>
      <c r="BJ385" s="67"/>
      <c r="BK385" s="67"/>
      <c r="BL385" s="67"/>
      <c r="BM385" s="67"/>
      <c r="BN385" s="67"/>
      <c r="BO385" s="67"/>
      <c r="BP385" s="67"/>
      <c r="BQ385" s="67"/>
      <c r="BR385" s="67"/>
      <c r="BS385" s="67"/>
      <c r="BT385" s="67"/>
      <c r="BU385" s="67"/>
      <c r="BV385" s="67"/>
      <c r="BW385" s="67"/>
      <c r="BX385" s="67"/>
      <c r="BY385" s="67"/>
      <c r="BZ385" s="67"/>
      <c r="CA385" s="67"/>
      <c r="CB385" s="67"/>
      <c r="CC385" s="67"/>
      <c r="CD385" s="67"/>
      <c r="CE385" s="67"/>
      <c r="CF385" s="67"/>
      <c r="CG385" s="67"/>
      <c r="CH385" s="67"/>
      <c r="CI385" s="67"/>
      <c r="CJ385" s="67"/>
      <c r="CK385" s="67"/>
      <c r="CL385" s="67"/>
      <c r="CM385" s="67"/>
      <c r="CN385" s="67"/>
      <c r="CO385" s="67"/>
      <c r="CP385" s="67"/>
      <c r="CQ385" s="67"/>
      <c r="CR385" s="67"/>
      <c r="CS385" s="67"/>
      <c r="CT385" s="67"/>
      <c r="CU385" s="67"/>
      <c r="CV385" s="67"/>
      <c r="CW385" s="67"/>
      <c r="CX385" s="67"/>
      <c r="CY385" s="67"/>
      <c r="CZ385" s="67"/>
      <c r="DA385" s="67"/>
      <c r="DB385" s="67"/>
      <c r="DC385" s="67"/>
      <c r="DD385" s="67"/>
      <c r="DE385" s="67"/>
      <c r="DF385" s="67"/>
      <c r="DG385" s="67"/>
      <c r="DH385" s="67"/>
      <c r="DI385" s="67"/>
      <c r="DJ385" s="67"/>
      <c r="DK385" s="67"/>
      <c r="DL385" s="67"/>
      <c r="DM385" s="67"/>
      <c r="DN385" s="67"/>
      <c r="DO385" s="67"/>
      <c r="DP385" s="67"/>
      <c r="DQ385" s="67"/>
      <c r="DR385" s="67"/>
      <c r="DS385" s="67"/>
      <c r="DT385" s="67"/>
      <c r="DU385" s="67"/>
    </row>
    <row r="386" spans="1:125" x14ac:dyDescent="0.25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/>
      <c r="AH386" s="67"/>
      <c r="AI386" s="67"/>
      <c r="AJ386" s="67"/>
      <c r="AK386" s="67"/>
      <c r="AL386" s="67"/>
      <c r="AM386" s="67"/>
      <c r="AN386" s="67"/>
      <c r="AO386" s="67"/>
      <c r="AP386" s="67"/>
      <c r="AQ386" s="67"/>
      <c r="AR386" s="67"/>
      <c r="AS386" s="67"/>
      <c r="AT386" s="67"/>
      <c r="AU386" s="67"/>
      <c r="AV386" s="67"/>
      <c r="AW386" s="67"/>
      <c r="AX386" s="67"/>
      <c r="AY386" s="67"/>
      <c r="AZ386" s="67"/>
      <c r="BA386" s="67"/>
      <c r="BB386" s="67"/>
      <c r="BC386" s="67"/>
      <c r="BD386" s="67"/>
      <c r="BE386" s="67"/>
      <c r="BF386" s="67"/>
      <c r="BG386" s="67"/>
      <c r="BH386" s="67"/>
      <c r="BI386" s="67"/>
      <c r="BJ386" s="67"/>
      <c r="BK386" s="67"/>
      <c r="BL386" s="67"/>
      <c r="BM386" s="67"/>
      <c r="BN386" s="67"/>
      <c r="BO386" s="67"/>
      <c r="BP386" s="67"/>
      <c r="BQ386" s="67"/>
      <c r="BR386" s="67"/>
      <c r="BS386" s="67"/>
      <c r="BT386" s="67"/>
      <c r="BU386" s="67"/>
      <c r="BV386" s="67"/>
      <c r="BW386" s="67"/>
      <c r="BX386" s="67"/>
      <c r="BY386" s="67"/>
      <c r="BZ386" s="67"/>
      <c r="CA386" s="67"/>
      <c r="CB386" s="67"/>
      <c r="CC386" s="67"/>
      <c r="CD386" s="67"/>
      <c r="CE386" s="67"/>
      <c r="CF386" s="67"/>
      <c r="CG386" s="67"/>
      <c r="CH386" s="67"/>
      <c r="CI386" s="67"/>
      <c r="CJ386" s="67"/>
      <c r="CK386" s="67"/>
      <c r="CL386" s="67"/>
      <c r="CM386" s="67"/>
      <c r="CN386" s="67"/>
      <c r="CO386" s="67"/>
      <c r="CP386" s="67"/>
      <c r="CQ386" s="67"/>
      <c r="CR386" s="67"/>
      <c r="CS386" s="67"/>
      <c r="CT386" s="67"/>
      <c r="CU386" s="67"/>
      <c r="CV386" s="67"/>
      <c r="CW386" s="67"/>
      <c r="CX386" s="67"/>
      <c r="CY386" s="67"/>
      <c r="CZ386" s="67"/>
      <c r="DA386" s="67"/>
      <c r="DB386" s="67"/>
      <c r="DC386" s="67"/>
      <c r="DD386" s="67"/>
      <c r="DE386" s="67"/>
      <c r="DF386" s="67"/>
      <c r="DG386" s="67"/>
      <c r="DH386" s="67"/>
      <c r="DI386" s="67"/>
      <c r="DJ386" s="67"/>
      <c r="DK386" s="67"/>
      <c r="DL386" s="67"/>
      <c r="DM386" s="67"/>
      <c r="DN386" s="67"/>
      <c r="DO386" s="67"/>
      <c r="DP386" s="67"/>
      <c r="DQ386" s="67"/>
      <c r="DR386" s="67"/>
      <c r="DS386" s="67"/>
      <c r="DT386" s="67"/>
      <c r="DU386" s="67"/>
    </row>
    <row r="387" spans="1:125" x14ac:dyDescent="0.25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  <c r="AF387" s="67"/>
      <c r="AG387" s="67"/>
      <c r="AH387" s="67"/>
      <c r="AI387" s="67"/>
      <c r="AJ387" s="67"/>
      <c r="AK387" s="67"/>
      <c r="AL387" s="67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  <c r="BD387" s="67"/>
      <c r="BE387" s="67"/>
      <c r="BF387" s="67"/>
      <c r="BG387" s="67"/>
      <c r="BH387" s="67"/>
      <c r="BI387" s="67"/>
      <c r="BJ387" s="67"/>
      <c r="BK387" s="67"/>
      <c r="BL387" s="67"/>
      <c r="BM387" s="67"/>
      <c r="BN387" s="67"/>
      <c r="BO387" s="67"/>
      <c r="BP387" s="67"/>
      <c r="BQ387" s="67"/>
      <c r="BR387" s="67"/>
      <c r="BS387" s="67"/>
      <c r="BT387" s="67"/>
      <c r="BU387" s="67"/>
      <c r="BV387" s="67"/>
      <c r="BW387" s="67"/>
      <c r="BX387" s="67"/>
      <c r="BY387" s="67"/>
      <c r="BZ387" s="67"/>
      <c r="CA387" s="67"/>
      <c r="CB387" s="67"/>
      <c r="CC387" s="67"/>
      <c r="CD387" s="67"/>
      <c r="CE387" s="67"/>
      <c r="CF387" s="67"/>
      <c r="CG387" s="67"/>
      <c r="CH387" s="67"/>
      <c r="CI387" s="67"/>
      <c r="CJ387" s="67"/>
      <c r="CK387" s="67"/>
      <c r="CL387" s="67"/>
      <c r="CM387" s="67"/>
      <c r="CN387" s="67"/>
      <c r="CO387" s="67"/>
      <c r="CP387" s="67"/>
      <c r="CQ387" s="67"/>
      <c r="CR387" s="67"/>
      <c r="CS387" s="67"/>
      <c r="CT387" s="67"/>
      <c r="CU387" s="67"/>
      <c r="CV387" s="67"/>
      <c r="CW387" s="67"/>
      <c r="CX387" s="67"/>
      <c r="CY387" s="67"/>
      <c r="CZ387" s="67"/>
      <c r="DA387" s="67"/>
      <c r="DB387" s="67"/>
      <c r="DC387" s="67"/>
      <c r="DD387" s="67"/>
      <c r="DE387" s="67"/>
      <c r="DF387" s="67"/>
      <c r="DG387" s="67"/>
      <c r="DH387" s="67"/>
      <c r="DI387" s="67"/>
      <c r="DJ387" s="67"/>
      <c r="DK387" s="67"/>
      <c r="DL387" s="67"/>
      <c r="DM387" s="67"/>
      <c r="DN387" s="67"/>
      <c r="DO387" s="67"/>
      <c r="DP387" s="67"/>
      <c r="DQ387" s="67"/>
      <c r="DR387" s="67"/>
      <c r="DS387" s="67"/>
      <c r="DT387" s="67"/>
      <c r="DU387" s="67"/>
    </row>
    <row r="388" spans="1:125" x14ac:dyDescent="0.25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/>
      <c r="AH388" s="67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  <c r="AX388" s="67"/>
      <c r="AY388" s="67"/>
      <c r="AZ388" s="67"/>
      <c r="BA388" s="67"/>
      <c r="BB388" s="67"/>
      <c r="BC388" s="67"/>
      <c r="BD388" s="67"/>
      <c r="BE388" s="67"/>
      <c r="BF388" s="67"/>
      <c r="BG388" s="67"/>
      <c r="BH388" s="67"/>
      <c r="BI388" s="67"/>
      <c r="BJ388" s="67"/>
      <c r="BK388" s="67"/>
      <c r="BL388" s="67"/>
      <c r="BM388" s="67"/>
      <c r="BN388" s="67"/>
      <c r="BO388" s="67"/>
      <c r="BP388" s="67"/>
      <c r="BQ388" s="67"/>
      <c r="BR388" s="67"/>
      <c r="BS388" s="67"/>
      <c r="BT388" s="67"/>
      <c r="BU388" s="67"/>
      <c r="BV388" s="67"/>
      <c r="BW388" s="67"/>
      <c r="BX388" s="67"/>
      <c r="BY388" s="67"/>
      <c r="BZ388" s="67"/>
      <c r="CA388" s="67"/>
      <c r="CB388" s="67"/>
      <c r="CC388" s="67"/>
      <c r="CD388" s="67"/>
      <c r="CE388" s="67"/>
      <c r="CF388" s="67"/>
      <c r="CG388" s="67"/>
      <c r="CH388" s="67"/>
      <c r="CI388" s="67"/>
      <c r="CJ388" s="67"/>
      <c r="CK388" s="67"/>
      <c r="CL388" s="67"/>
      <c r="CM388" s="67"/>
      <c r="CN388" s="67"/>
      <c r="CO388" s="67"/>
      <c r="CP388" s="67"/>
      <c r="CQ388" s="67"/>
      <c r="CR388" s="67"/>
      <c r="CS388" s="67"/>
      <c r="CT388" s="67"/>
      <c r="CU388" s="67"/>
      <c r="CV388" s="67"/>
      <c r="CW388" s="67"/>
      <c r="CX388" s="67"/>
      <c r="CY388" s="67"/>
      <c r="CZ388" s="67"/>
      <c r="DA388" s="67"/>
      <c r="DB388" s="67"/>
      <c r="DC388" s="67"/>
      <c r="DD388" s="67"/>
      <c r="DE388" s="67"/>
      <c r="DF388" s="67"/>
      <c r="DG388" s="67"/>
      <c r="DH388" s="67"/>
      <c r="DI388" s="67"/>
      <c r="DJ388" s="67"/>
      <c r="DK388" s="67"/>
      <c r="DL388" s="67"/>
      <c r="DM388" s="67"/>
      <c r="DN388" s="67"/>
      <c r="DO388" s="67"/>
      <c r="DP388" s="67"/>
      <c r="DQ388" s="67"/>
      <c r="DR388" s="67"/>
      <c r="DS388" s="67"/>
      <c r="DT388" s="67"/>
      <c r="DU388" s="67"/>
    </row>
    <row r="389" spans="1:125" x14ac:dyDescent="0.25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/>
      <c r="AH389" s="67"/>
      <c r="AI389" s="67"/>
      <c r="AJ389" s="67"/>
      <c r="AK389" s="67"/>
      <c r="AL389" s="67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  <c r="AX389" s="67"/>
      <c r="AY389" s="67"/>
      <c r="AZ389" s="67"/>
      <c r="BA389" s="67"/>
      <c r="BB389" s="67"/>
      <c r="BC389" s="67"/>
      <c r="BD389" s="67"/>
      <c r="BE389" s="67"/>
      <c r="BF389" s="67"/>
      <c r="BG389" s="67"/>
      <c r="BH389" s="67"/>
      <c r="BI389" s="67"/>
      <c r="BJ389" s="67"/>
      <c r="BK389" s="67"/>
      <c r="BL389" s="67"/>
      <c r="BM389" s="67"/>
      <c r="BN389" s="67"/>
      <c r="BO389" s="67"/>
      <c r="BP389" s="67"/>
      <c r="BQ389" s="67"/>
      <c r="BR389" s="67"/>
      <c r="BS389" s="67"/>
      <c r="BT389" s="67"/>
      <c r="BU389" s="67"/>
      <c r="BV389" s="67"/>
      <c r="BW389" s="67"/>
      <c r="BX389" s="67"/>
      <c r="BY389" s="67"/>
      <c r="BZ389" s="67"/>
      <c r="CA389" s="67"/>
      <c r="CB389" s="67"/>
      <c r="CC389" s="67"/>
      <c r="CD389" s="67"/>
      <c r="CE389" s="67"/>
      <c r="CF389" s="67"/>
      <c r="CG389" s="67"/>
      <c r="CH389" s="67"/>
      <c r="CI389" s="67"/>
      <c r="CJ389" s="67"/>
      <c r="CK389" s="67"/>
      <c r="CL389" s="67"/>
      <c r="CM389" s="67"/>
      <c r="CN389" s="67"/>
      <c r="CO389" s="67"/>
      <c r="CP389" s="67"/>
      <c r="CQ389" s="67"/>
      <c r="CR389" s="67"/>
      <c r="CS389" s="67"/>
      <c r="CT389" s="67"/>
      <c r="CU389" s="67"/>
      <c r="CV389" s="67"/>
      <c r="CW389" s="67"/>
      <c r="CX389" s="67"/>
      <c r="CY389" s="67"/>
      <c r="CZ389" s="67"/>
      <c r="DA389" s="67"/>
      <c r="DB389" s="67"/>
      <c r="DC389" s="67"/>
      <c r="DD389" s="67"/>
      <c r="DE389" s="67"/>
      <c r="DF389" s="67"/>
      <c r="DG389" s="67"/>
      <c r="DH389" s="67"/>
      <c r="DI389" s="67"/>
      <c r="DJ389" s="67"/>
      <c r="DK389" s="67"/>
      <c r="DL389" s="67"/>
      <c r="DM389" s="67"/>
      <c r="DN389" s="67"/>
      <c r="DO389" s="67"/>
      <c r="DP389" s="67"/>
      <c r="DQ389" s="67"/>
      <c r="DR389" s="67"/>
      <c r="DS389" s="67"/>
      <c r="DT389" s="67"/>
      <c r="DU389" s="67"/>
    </row>
    <row r="390" spans="1:125" x14ac:dyDescent="0.25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/>
      <c r="AH390" s="67"/>
      <c r="AI390" s="67"/>
      <c r="AJ390" s="67"/>
      <c r="AK390" s="67"/>
      <c r="AL390" s="67"/>
      <c r="AM390" s="67"/>
      <c r="AN390" s="67"/>
      <c r="AO390" s="67"/>
      <c r="AP390" s="67"/>
      <c r="AQ390" s="67"/>
      <c r="AR390" s="67"/>
      <c r="AS390" s="67"/>
      <c r="AT390" s="67"/>
      <c r="AU390" s="67"/>
      <c r="AV390" s="67"/>
      <c r="AW390" s="67"/>
      <c r="AX390" s="67"/>
      <c r="AY390" s="67"/>
      <c r="AZ390" s="67"/>
      <c r="BA390" s="67"/>
      <c r="BB390" s="67"/>
      <c r="BC390" s="67"/>
      <c r="BD390" s="67"/>
      <c r="BE390" s="67"/>
      <c r="BF390" s="67"/>
      <c r="BG390" s="67"/>
      <c r="BH390" s="67"/>
      <c r="BI390" s="67"/>
      <c r="BJ390" s="67"/>
      <c r="BK390" s="67"/>
      <c r="BL390" s="67"/>
      <c r="BM390" s="67"/>
      <c r="BN390" s="67"/>
      <c r="BO390" s="67"/>
      <c r="BP390" s="67"/>
      <c r="BQ390" s="67"/>
      <c r="BR390" s="67"/>
      <c r="BS390" s="67"/>
      <c r="BT390" s="67"/>
      <c r="BU390" s="67"/>
      <c r="BV390" s="67"/>
      <c r="BW390" s="67"/>
      <c r="BX390" s="67"/>
      <c r="BY390" s="67"/>
      <c r="BZ390" s="67"/>
      <c r="CA390" s="67"/>
      <c r="CB390" s="67"/>
      <c r="CC390" s="67"/>
      <c r="CD390" s="67"/>
      <c r="CE390" s="67"/>
      <c r="CF390" s="67"/>
      <c r="CG390" s="67"/>
      <c r="CH390" s="67"/>
      <c r="CI390" s="67"/>
      <c r="CJ390" s="67"/>
      <c r="CK390" s="67"/>
      <c r="CL390" s="67"/>
      <c r="CM390" s="67"/>
      <c r="CN390" s="67"/>
      <c r="CO390" s="67"/>
      <c r="CP390" s="67"/>
      <c r="CQ390" s="67"/>
      <c r="CR390" s="67"/>
      <c r="CS390" s="67"/>
      <c r="CT390" s="67"/>
      <c r="CU390" s="67"/>
      <c r="CV390" s="67"/>
      <c r="CW390" s="67"/>
      <c r="CX390" s="67"/>
      <c r="CY390" s="67"/>
      <c r="CZ390" s="67"/>
      <c r="DA390" s="67"/>
      <c r="DB390" s="67"/>
      <c r="DC390" s="67"/>
      <c r="DD390" s="67"/>
      <c r="DE390" s="67"/>
      <c r="DF390" s="67"/>
      <c r="DG390" s="67"/>
      <c r="DH390" s="67"/>
      <c r="DI390" s="67"/>
      <c r="DJ390" s="67"/>
      <c r="DK390" s="67"/>
      <c r="DL390" s="67"/>
      <c r="DM390" s="67"/>
      <c r="DN390" s="67"/>
      <c r="DO390" s="67"/>
      <c r="DP390" s="67"/>
      <c r="DQ390" s="67"/>
      <c r="DR390" s="67"/>
      <c r="DS390" s="67"/>
      <c r="DT390" s="67"/>
      <c r="DU390" s="67"/>
    </row>
    <row r="391" spans="1:125" x14ac:dyDescent="0.25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/>
      <c r="AH391" s="67"/>
      <c r="AI391" s="67"/>
      <c r="AJ391" s="67"/>
      <c r="AK391" s="67"/>
      <c r="AL391" s="67"/>
      <c r="AM391" s="67"/>
      <c r="AN391" s="67"/>
      <c r="AO391" s="67"/>
      <c r="AP391" s="67"/>
      <c r="AQ391" s="67"/>
      <c r="AR391" s="67"/>
      <c r="AS391" s="67"/>
      <c r="AT391" s="67"/>
      <c r="AU391" s="67"/>
      <c r="AV391" s="67"/>
      <c r="AW391" s="67"/>
      <c r="AX391" s="67"/>
      <c r="AY391" s="67"/>
      <c r="AZ391" s="67"/>
      <c r="BA391" s="67"/>
      <c r="BB391" s="67"/>
      <c r="BC391" s="67"/>
      <c r="BD391" s="67"/>
      <c r="BE391" s="67"/>
      <c r="BF391" s="67"/>
      <c r="BG391" s="67"/>
      <c r="BH391" s="67"/>
      <c r="BI391" s="67"/>
      <c r="BJ391" s="67"/>
      <c r="BK391" s="67"/>
      <c r="BL391" s="67"/>
      <c r="BM391" s="67"/>
      <c r="BN391" s="67"/>
      <c r="BO391" s="67"/>
      <c r="BP391" s="67"/>
      <c r="BQ391" s="67"/>
      <c r="BR391" s="67"/>
      <c r="BS391" s="67"/>
      <c r="BT391" s="67"/>
      <c r="BU391" s="67"/>
      <c r="BV391" s="67"/>
      <c r="BW391" s="67"/>
      <c r="BX391" s="67"/>
      <c r="BY391" s="67"/>
      <c r="BZ391" s="67"/>
      <c r="CA391" s="67"/>
      <c r="CB391" s="67"/>
      <c r="CC391" s="67"/>
      <c r="CD391" s="67"/>
      <c r="CE391" s="67"/>
      <c r="CF391" s="67"/>
      <c r="CG391" s="67"/>
      <c r="CH391" s="67"/>
      <c r="CI391" s="67"/>
      <c r="CJ391" s="67"/>
      <c r="CK391" s="67"/>
      <c r="CL391" s="67"/>
      <c r="CM391" s="67"/>
      <c r="CN391" s="67"/>
      <c r="CO391" s="67"/>
      <c r="CP391" s="67"/>
      <c r="CQ391" s="67"/>
      <c r="CR391" s="67"/>
      <c r="CS391" s="67"/>
      <c r="CT391" s="67"/>
      <c r="CU391" s="67"/>
      <c r="CV391" s="67"/>
      <c r="CW391" s="67"/>
      <c r="CX391" s="67"/>
      <c r="CY391" s="67"/>
      <c r="CZ391" s="67"/>
      <c r="DA391" s="67"/>
      <c r="DB391" s="67"/>
      <c r="DC391" s="67"/>
      <c r="DD391" s="67"/>
      <c r="DE391" s="67"/>
      <c r="DF391" s="67"/>
      <c r="DG391" s="67"/>
      <c r="DH391" s="67"/>
      <c r="DI391" s="67"/>
      <c r="DJ391" s="67"/>
      <c r="DK391" s="67"/>
      <c r="DL391" s="67"/>
      <c r="DM391" s="67"/>
      <c r="DN391" s="67"/>
      <c r="DO391" s="67"/>
      <c r="DP391" s="67"/>
      <c r="DQ391" s="67"/>
      <c r="DR391" s="67"/>
      <c r="DS391" s="67"/>
      <c r="DT391" s="67"/>
      <c r="DU391" s="67"/>
    </row>
    <row r="392" spans="1:125" x14ac:dyDescent="0.25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  <c r="AA392" s="67"/>
      <c r="AB392" s="67"/>
      <c r="AC392" s="67"/>
      <c r="AD392" s="67"/>
      <c r="AE392" s="67"/>
      <c r="AF392" s="67"/>
      <c r="AG392" s="67"/>
      <c r="AH392" s="67"/>
      <c r="AI392" s="67"/>
      <c r="AJ392" s="67"/>
      <c r="AK392" s="67"/>
      <c r="AL392" s="67"/>
      <c r="AM392" s="67"/>
      <c r="AN392" s="67"/>
      <c r="AO392" s="67"/>
      <c r="AP392" s="67"/>
      <c r="AQ392" s="67"/>
      <c r="AR392" s="67"/>
      <c r="AS392" s="67"/>
      <c r="AT392" s="67"/>
      <c r="AU392" s="67"/>
      <c r="AV392" s="67"/>
      <c r="AW392" s="67"/>
      <c r="AX392" s="67"/>
      <c r="AY392" s="67"/>
      <c r="AZ392" s="67"/>
      <c r="BA392" s="67"/>
      <c r="BB392" s="67"/>
      <c r="BC392" s="67"/>
      <c r="BD392" s="67"/>
      <c r="BE392" s="67"/>
      <c r="BF392" s="67"/>
      <c r="BG392" s="67"/>
      <c r="BH392" s="67"/>
      <c r="BI392" s="67"/>
      <c r="BJ392" s="67"/>
      <c r="BK392" s="67"/>
      <c r="BL392" s="67"/>
      <c r="BM392" s="67"/>
      <c r="BN392" s="67"/>
      <c r="BO392" s="67"/>
      <c r="BP392" s="67"/>
      <c r="BQ392" s="67"/>
      <c r="BR392" s="67"/>
      <c r="BS392" s="67"/>
      <c r="BT392" s="67"/>
      <c r="BU392" s="67"/>
      <c r="BV392" s="67"/>
      <c r="BW392" s="67"/>
      <c r="BX392" s="67"/>
      <c r="BY392" s="67"/>
      <c r="BZ392" s="67"/>
      <c r="CA392" s="67"/>
      <c r="CB392" s="67"/>
      <c r="CC392" s="67"/>
      <c r="CD392" s="67"/>
      <c r="CE392" s="67"/>
      <c r="CF392" s="67"/>
      <c r="CG392" s="67"/>
      <c r="CH392" s="67"/>
      <c r="CI392" s="67"/>
      <c r="CJ392" s="67"/>
      <c r="CK392" s="67"/>
      <c r="CL392" s="67"/>
      <c r="CM392" s="67"/>
      <c r="CN392" s="67"/>
      <c r="CO392" s="67"/>
      <c r="CP392" s="67"/>
      <c r="CQ392" s="67"/>
      <c r="CR392" s="67"/>
      <c r="CS392" s="67"/>
      <c r="CT392" s="67"/>
      <c r="CU392" s="67"/>
      <c r="CV392" s="67"/>
      <c r="CW392" s="67"/>
      <c r="CX392" s="67"/>
      <c r="CY392" s="67"/>
      <c r="CZ392" s="67"/>
      <c r="DA392" s="67"/>
      <c r="DB392" s="67"/>
      <c r="DC392" s="67"/>
      <c r="DD392" s="67"/>
      <c r="DE392" s="67"/>
      <c r="DF392" s="67"/>
      <c r="DG392" s="67"/>
      <c r="DH392" s="67"/>
      <c r="DI392" s="67"/>
      <c r="DJ392" s="67"/>
      <c r="DK392" s="67"/>
      <c r="DL392" s="67"/>
      <c r="DM392" s="67"/>
      <c r="DN392" s="67"/>
      <c r="DO392" s="67"/>
      <c r="DP392" s="67"/>
      <c r="DQ392" s="67"/>
      <c r="DR392" s="67"/>
      <c r="DS392" s="67"/>
      <c r="DT392" s="67"/>
      <c r="DU392" s="67"/>
    </row>
    <row r="393" spans="1:125" x14ac:dyDescent="0.25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/>
      <c r="AH393" s="67"/>
      <c r="AI393" s="67"/>
      <c r="AJ393" s="67"/>
      <c r="AK393" s="67"/>
      <c r="AL393" s="67"/>
      <c r="AM393" s="67"/>
      <c r="AN393" s="67"/>
      <c r="AO393" s="67"/>
      <c r="AP393" s="67"/>
      <c r="AQ393" s="67"/>
      <c r="AR393" s="67"/>
      <c r="AS393" s="67"/>
      <c r="AT393" s="67"/>
      <c r="AU393" s="67"/>
      <c r="AV393" s="67"/>
      <c r="AW393" s="67"/>
      <c r="AX393" s="67"/>
      <c r="AY393" s="67"/>
      <c r="AZ393" s="67"/>
      <c r="BA393" s="67"/>
      <c r="BB393" s="67"/>
      <c r="BC393" s="67"/>
      <c r="BD393" s="67"/>
      <c r="BE393" s="67"/>
      <c r="BF393" s="67"/>
      <c r="BG393" s="67"/>
      <c r="BH393" s="67"/>
      <c r="BI393" s="67"/>
      <c r="BJ393" s="67"/>
      <c r="BK393" s="67"/>
      <c r="BL393" s="67"/>
      <c r="BM393" s="67"/>
      <c r="BN393" s="67"/>
      <c r="BO393" s="67"/>
      <c r="BP393" s="67"/>
      <c r="BQ393" s="67"/>
      <c r="BR393" s="67"/>
      <c r="BS393" s="67"/>
      <c r="BT393" s="67"/>
      <c r="BU393" s="67"/>
      <c r="BV393" s="67"/>
      <c r="BW393" s="67"/>
      <c r="BX393" s="67"/>
      <c r="BY393" s="67"/>
      <c r="BZ393" s="67"/>
      <c r="CA393" s="67"/>
      <c r="CB393" s="67"/>
      <c r="CC393" s="67"/>
      <c r="CD393" s="67"/>
      <c r="CE393" s="67"/>
      <c r="CF393" s="67"/>
      <c r="CG393" s="67"/>
      <c r="CH393" s="67"/>
      <c r="CI393" s="67"/>
      <c r="CJ393" s="67"/>
      <c r="CK393" s="67"/>
      <c r="CL393" s="67"/>
      <c r="CM393" s="67"/>
      <c r="CN393" s="67"/>
      <c r="CO393" s="67"/>
      <c r="CP393" s="67"/>
      <c r="CQ393" s="67"/>
      <c r="CR393" s="67"/>
      <c r="CS393" s="67"/>
      <c r="CT393" s="67"/>
      <c r="CU393" s="67"/>
      <c r="CV393" s="67"/>
      <c r="CW393" s="67"/>
      <c r="CX393" s="67"/>
      <c r="CY393" s="67"/>
      <c r="CZ393" s="67"/>
      <c r="DA393" s="67"/>
      <c r="DB393" s="67"/>
      <c r="DC393" s="67"/>
      <c r="DD393" s="67"/>
      <c r="DE393" s="67"/>
      <c r="DF393" s="67"/>
      <c r="DG393" s="67"/>
      <c r="DH393" s="67"/>
      <c r="DI393" s="67"/>
      <c r="DJ393" s="67"/>
      <c r="DK393" s="67"/>
      <c r="DL393" s="67"/>
      <c r="DM393" s="67"/>
      <c r="DN393" s="67"/>
      <c r="DO393" s="67"/>
      <c r="DP393" s="67"/>
      <c r="DQ393" s="67"/>
      <c r="DR393" s="67"/>
      <c r="DS393" s="67"/>
      <c r="DT393" s="67"/>
      <c r="DU393" s="67"/>
    </row>
    <row r="394" spans="1:125" x14ac:dyDescent="0.25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/>
      <c r="AH394" s="67"/>
      <c r="AI394" s="67"/>
      <c r="AJ394" s="67"/>
      <c r="AK394" s="67"/>
      <c r="AL394" s="67"/>
      <c r="AM394" s="67"/>
      <c r="AN394" s="67"/>
      <c r="AO394" s="67"/>
      <c r="AP394" s="67"/>
      <c r="AQ394" s="67"/>
      <c r="AR394" s="67"/>
      <c r="AS394" s="67"/>
      <c r="AT394" s="67"/>
      <c r="AU394" s="67"/>
      <c r="AV394" s="67"/>
      <c r="AW394" s="67"/>
      <c r="AX394" s="67"/>
      <c r="AY394" s="67"/>
      <c r="AZ394" s="67"/>
      <c r="BA394" s="67"/>
      <c r="BB394" s="67"/>
      <c r="BC394" s="67"/>
      <c r="BD394" s="67"/>
      <c r="BE394" s="67"/>
      <c r="BF394" s="67"/>
      <c r="BG394" s="67"/>
      <c r="BH394" s="67"/>
      <c r="BI394" s="67"/>
      <c r="BJ394" s="67"/>
      <c r="BK394" s="67"/>
      <c r="BL394" s="67"/>
      <c r="BM394" s="67"/>
      <c r="BN394" s="67"/>
      <c r="BO394" s="67"/>
      <c r="BP394" s="67"/>
      <c r="BQ394" s="67"/>
      <c r="BR394" s="67"/>
      <c r="BS394" s="67"/>
      <c r="BT394" s="67"/>
      <c r="BU394" s="67"/>
      <c r="BV394" s="67"/>
      <c r="BW394" s="67"/>
      <c r="BX394" s="67"/>
      <c r="BY394" s="67"/>
      <c r="BZ394" s="67"/>
      <c r="CA394" s="67"/>
      <c r="CB394" s="67"/>
      <c r="CC394" s="67"/>
      <c r="CD394" s="67"/>
      <c r="CE394" s="67"/>
      <c r="CF394" s="67"/>
      <c r="CG394" s="67"/>
      <c r="CH394" s="67"/>
      <c r="CI394" s="67"/>
      <c r="CJ394" s="67"/>
      <c r="CK394" s="67"/>
      <c r="CL394" s="67"/>
      <c r="CM394" s="67"/>
      <c r="CN394" s="67"/>
      <c r="CO394" s="67"/>
      <c r="CP394" s="67"/>
      <c r="CQ394" s="67"/>
      <c r="CR394" s="67"/>
      <c r="CS394" s="67"/>
      <c r="CT394" s="67"/>
      <c r="CU394" s="67"/>
      <c r="CV394" s="67"/>
      <c r="CW394" s="67"/>
      <c r="CX394" s="67"/>
      <c r="CY394" s="67"/>
      <c r="CZ394" s="67"/>
      <c r="DA394" s="67"/>
      <c r="DB394" s="67"/>
      <c r="DC394" s="67"/>
      <c r="DD394" s="67"/>
      <c r="DE394" s="67"/>
      <c r="DF394" s="67"/>
      <c r="DG394" s="67"/>
      <c r="DH394" s="67"/>
      <c r="DI394" s="67"/>
      <c r="DJ394" s="67"/>
      <c r="DK394" s="67"/>
      <c r="DL394" s="67"/>
      <c r="DM394" s="67"/>
      <c r="DN394" s="67"/>
      <c r="DO394" s="67"/>
      <c r="DP394" s="67"/>
      <c r="DQ394" s="67"/>
      <c r="DR394" s="67"/>
      <c r="DS394" s="67"/>
      <c r="DT394" s="67"/>
      <c r="DU394" s="67"/>
    </row>
    <row r="395" spans="1:125" x14ac:dyDescent="0.25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  <c r="AA395" s="67"/>
      <c r="AB395" s="67"/>
      <c r="AC395" s="67"/>
      <c r="AD395" s="67"/>
      <c r="AE395" s="67"/>
      <c r="AF395" s="67"/>
      <c r="AG395" s="67"/>
      <c r="AH395" s="67"/>
      <c r="AI395" s="67"/>
      <c r="AJ395" s="67"/>
      <c r="AK395" s="67"/>
      <c r="AL395" s="67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  <c r="AX395" s="67"/>
      <c r="AY395" s="67"/>
      <c r="AZ395" s="67"/>
      <c r="BA395" s="67"/>
      <c r="BB395" s="67"/>
      <c r="BC395" s="67"/>
      <c r="BD395" s="67"/>
      <c r="BE395" s="67"/>
      <c r="BF395" s="67"/>
      <c r="BG395" s="67"/>
      <c r="BH395" s="67"/>
      <c r="BI395" s="67"/>
      <c r="BJ395" s="67"/>
      <c r="BK395" s="67"/>
      <c r="BL395" s="67"/>
      <c r="BM395" s="67"/>
      <c r="BN395" s="67"/>
      <c r="BO395" s="67"/>
      <c r="BP395" s="67"/>
      <c r="BQ395" s="67"/>
      <c r="BR395" s="67"/>
      <c r="BS395" s="67"/>
      <c r="BT395" s="67"/>
      <c r="BU395" s="67"/>
      <c r="BV395" s="67"/>
      <c r="BW395" s="67"/>
      <c r="BX395" s="67"/>
      <c r="BY395" s="67"/>
      <c r="BZ395" s="67"/>
      <c r="CA395" s="67"/>
      <c r="CB395" s="67"/>
      <c r="CC395" s="67"/>
      <c r="CD395" s="67"/>
      <c r="CE395" s="67"/>
      <c r="CF395" s="67"/>
      <c r="CG395" s="67"/>
      <c r="CH395" s="67"/>
      <c r="CI395" s="67"/>
      <c r="CJ395" s="67"/>
      <c r="CK395" s="67"/>
      <c r="CL395" s="67"/>
      <c r="CM395" s="67"/>
      <c r="CN395" s="67"/>
      <c r="CO395" s="67"/>
      <c r="CP395" s="67"/>
      <c r="CQ395" s="67"/>
      <c r="CR395" s="67"/>
      <c r="CS395" s="67"/>
      <c r="CT395" s="67"/>
      <c r="CU395" s="67"/>
      <c r="CV395" s="67"/>
      <c r="CW395" s="67"/>
      <c r="CX395" s="67"/>
      <c r="CY395" s="67"/>
      <c r="CZ395" s="67"/>
      <c r="DA395" s="67"/>
      <c r="DB395" s="67"/>
      <c r="DC395" s="67"/>
      <c r="DD395" s="67"/>
      <c r="DE395" s="67"/>
      <c r="DF395" s="67"/>
      <c r="DG395" s="67"/>
      <c r="DH395" s="67"/>
      <c r="DI395" s="67"/>
      <c r="DJ395" s="67"/>
      <c r="DK395" s="67"/>
      <c r="DL395" s="67"/>
      <c r="DM395" s="67"/>
      <c r="DN395" s="67"/>
      <c r="DO395" s="67"/>
      <c r="DP395" s="67"/>
      <c r="DQ395" s="67"/>
      <c r="DR395" s="67"/>
      <c r="DS395" s="67"/>
      <c r="DT395" s="67"/>
      <c r="DU395" s="67"/>
    </row>
    <row r="396" spans="1:125" x14ac:dyDescent="0.25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  <c r="AA396" s="67"/>
      <c r="AB396" s="67"/>
      <c r="AC396" s="67"/>
      <c r="AD396" s="67"/>
      <c r="AE396" s="67"/>
      <c r="AF396" s="67"/>
      <c r="AG396" s="67"/>
      <c r="AH396" s="67"/>
      <c r="AI396" s="67"/>
      <c r="AJ396" s="67"/>
      <c r="AK396" s="67"/>
      <c r="AL396" s="67"/>
      <c r="AM396" s="67"/>
      <c r="AN396" s="67"/>
      <c r="AO396" s="67"/>
      <c r="AP396" s="67"/>
      <c r="AQ396" s="67"/>
      <c r="AR396" s="67"/>
      <c r="AS396" s="67"/>
      <c r="AT396" s="67"/>
      <c r="AU396" s="67"/>
      <c r="AV396" s="67"/>
      <c r="AW396" s="67"/>
      <c r="AX396" s="67"/>
      <c r="AY396" s="67"/>
      <c r="AZ396" s="67"/>
      <c r="BA396" s="67"/>
      <c r="BB396" s="67"/>
      <c r="BC396" s="67"/>
      <c r="BD396" s="67"/>
      <c r="BE396" s="67"/>
      <c r="BF396" s="67"/>
      <c r="BG396" s="67"/>
      <c r="BH396" s="67"/>
      <c r="BI396" s="67"/>
      <c r="BJ396" s="67"/>
      <c r="BK396" s="67"/>
      <c r="BL396" s="67"/>
      <c r="BM396" s="67"/>
      <c r="BN396" s="67"/>
      <c r="BO396" s="67"/>
      <c r="BP396" s="67"/>
      <c r="BQ396" s="67"/>
      <c r="BR396" s="67"/>
      <c r="BS396" s="67"/>
      <c r="BT396" s="67"/>
      <c r="BU396" s="67"/>
      <c r="BV396" s="67"/>
      <c r="BW396" s="67"/>
      <c r="BX396" s="67"/>
      <c r="BY396" s="67"/>
      <c r="BZ396" s="67"/>
      <c r="CA396" s="67"/>
      <c r="CB396" s="67"/>
      <c r="CC396" s="67"/>
      <c r="CD396" s="67"/>
      <c r="CE396" s="67"/>
      <c r="CF396" s="67"/>
      <c r="CG396" s="67"/>
      <c r="CH396" s="67"/>
      <c r="CI396" s="67"/>
      <c r="CJ396" s="67"/>
      <c r="CK396" s="67"/>
      <c r="CL396" s="67"/>
      <c r="CM396" s="67"/>
      <c r="CN396" s="67"/>
      <c r="CO396" s="67"/>
      <c r="CP396" s="67"/>
      <c r="CQ396" s="67"/>
      <c r="CR396" s="67"/>
      <c r="CS396" s="67"/>
      <c r="CT396" s="67"/>
      <c r="CU396" s="67"/>
      <c r="CV396" s="67"/>
      <c r="CW396" s="67"/>
      <c r="CX396" s="67"/>
      <c r="CY396" s="67"/>
      <c r="CZ396" s="67"/>
      <c r="DA396" s="67"/>
      <c r="DB396" s="67"/>
      <c r="DC396" s="67"/>
      <c r="DD396" s="67"/>
      <c r="DE396" s="67"/>
      <c r="DF396" s="67"/>
      <c r="DG396" s="67"/>
      <c r="DH396" s="67"/>
      <c r="DI396" s="67"/>
      <c r="DJ396" s="67"/>
      <c r="DK396" s="67"/>
      <c r="DL396" s="67"/>
      <c r="DM396" s="67"/>
      <c r="DN396" s="67"/>
      <c r="DO396" s="67"/>
      <c r="DP396" s="67"/>
      <c r="DQ396" s="67"/>
      <c r="DR396" s="67"/>
      <c r="DS396" s="67"/>
      <c r="DT396" s="67"/>
      <c r="DU396" s="67"/>
    </row>
    <row r="397" spans="1:125" x14ac:dyDescent="0.25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  <c r="AA397" s="67"/>
      <c r="AB397" s="67"/>
      <c r="AC397" s="67"/>
      <c r="AD397" s="67"/>
      <c r="AE397" s="67"/>
      <c r="AF397" s="67"/>
      <c r="AG397" s="67"/>
      <c r="AH397" s="67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7"/>
      <c r="AT397" s="67"/>
      <c r="AU397" s="67"/>
      <c r="AV397" s="67"/>
      <c r="AW397" s="67"/>
      <c r="AX397" s="67"/>
      <c r="AY397" s="67"/>
      <c r="AZ397" s="67"/>
      <c r="BA397" s="67"/>
      <c r="BB397" s="67"/>
      <c r="BC397" s="67"/>
      <c r="BD397" s="67"/>
      <c r="BE397" s="67"/>
      <c r="BF397" s="67"/>
      <c r="BG397" s="67"/>
      <c r="BH397" s="67"/>
      <c r="BI397" s="67"/>
      <c r="BJ397" s="67"/>
      <c r="BK397" s="67"/>
      <c r="BL397" s="67"/>
      <c r="BM397" s="67"/>
      <c r="BN397" s="67"/>
      <c r="BO397" s="67"/>
      <c r="BP397" s="67"/>
      <c r="BQ397" s="67"/>
      <c r="BR397" s="67"/>
      <c r="BS397" s="67"/>
      <c r="BT397" s="67"/>
      <c r="BU397" s="67"/>
      <c r="BV397" s="67"/>
      <c r="BW397" s="67"/>
      <c r="BX397" s="67"/>
      <c r="BY397" s="67"/>
      <c r="BZ397" s="67"/>
      <c r="CA397" s="67"/>
      <c r="CB397" s="67"/>
      <c r="CC397" s="67"/>
      <c r="CD397" s="67"/>
      <c r="CE397" s="67"/>
      <c r="CF397" s="67"/>
      <c r="CG397" s="67"/>
      <c r="CH397" s="67"/>
      <c r="CI397" s="67"/>
      <c r="CJ397" s="67"/>
      <c r="CK397" s="67"/>
      <c r="CL397" s="67"/>
      <c r="CM397" s="67"/>
      <c r="CN397" s="67"/>
      <c r="CO397" s="67"/>
      <c r="CP397" s="67"/>
      <c r="CQ397" s="67"/>
      <c r="CR397" s="67"/>
      <c r="CS397" s="67"/>
      <c r="CT397" s="67"/>
      <c r="CU397" s="67"/>
      <c r="CV397" s="67"/>
      <c r="CW397" s="67"/>
      <c r="CX397" s="67"/>
      <c r="CY397" s="67"/>
      <c r="CZ397" s="67"/>
      <c r="DA397" s="67"/>
      <c r="DB397" s="67"/>
      <c r="DC397" s="67"/>
      <c r="DD397" s="67"/>
      <c r="DE397" s="67"/>
      <c r="DF397" s="67"/>
      <c r="DG397" s="67"/>
      <c r="DH397" s="67"/>
      <c r="DI397" s="67"/>
      <c r="DJ397" s="67"/>
      <c r="DK397" s="67"/>
      <c r="DL397" s="67"/>
      <c r="DM397" s="67"/>
      <c r="DN397" s="67"/>
      <c r="DO397" s="67"/>
      <c r="DP397" s="67"/>
      <c r="DQ397" s="67"/>
      <c r="DR397" s="67"/>
      <c r="DS397" s="67"/>
      <c r="DT397" s="67"/>
      <c r="DU397" s="67"/>
    </row>
    <row r="398" spans="1:125" x14ac:dyDescent="0.25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  <c r="AA398" s="67"/>
      <c r="AB398" s="67"/>
      <c r="AC398" s="67"/>
      <c r="AD398" s="67"/>
      <c r="AE398" s="67"/>
      <c r="AF398" s="67"/>
      <c r="AG398" s="67"/>
      <c r="AH398" s="67"/>
      <c r="AI398" s="67"/>
      <c r="AJ398" s="67"/>
      <c r="AK398" s="67"/>
      <c r="AL398" s="67"/>
      <c r="AM398" s="67"/>
      <c r="AN398" s="67"/>
      <c r="AO398" s="67"/>
      <c r="AP398" s="67"/>
      <c r="AQ398" s="67"/>
      <c r="AR398" s="67"/>
      <c r="AS398" s="67"/>
      <c r="AT398" s="67"/>
      <c r="AU398" s="67"/>
      <c r="AV398" s="67"/>
      <c r="AW398" s="67"/>
      <c r="AX398" s="67"/>
      <c r="AY398" s="67"/>
      <c r="AZ398" s="67"/>
      <c r="BA398" s="67"/>
      <c r="BB398" s="67"/>
      <c r="BC398" s="67"/>
      <c r="BD398" s="67"/>
      <c r="BE398" s="67"/>
      <c r="BF398" s="67"/>
      <c r="BG398" s="67"/>
      <c r="BH398" s="67"/>
      <c r="BI398" s="67"/>
      <c r="BJ398" s="67"/>
      <c r="BK398" s="67"/>
      <c r="BL398" s="67"/>
      <c r="BM398" s="67"/>
      <c r="BN398" s="67"/>
      <c r="BO398" s="67"/>
      <c r="BP398" s="67"/>
      <c r="BQ398" s="67"/>
      <c r="BR398" s="67"/>
      <c r="BS398" s="67"/>
      <c r="BT398" s="67"/>
      <c r="BU398" s="67"/>
      <c r="BV398" s="67"/>
      <c r="BW398" s="67"/>
      <c r="BX398" s="67"/>
      <c r="BY398" s="67"/>
      <c r="BZ398" s="67"/>
      <c r="CA398" s="67"/>
      <c r="CB398" s="67"/>
      <c r="CC398" s="67"/>
      <c r="CD398" s="67"/>
      <c r="CE398" s="67"/>
      <c r="CF398" s="67"/>
      <c r="CG398" s="67"/>
      <c r="CH398" s="67"/>
      <c r="CI398" s="67"/>
      <c r="CJ398" s="67"/>
      <c r="CK398" s="67"/>
      <c r="CL398" s="67"/>
      <c r="CM398" s="67"/>
      <c r="CN398" s="67"/>
      <c r="CO398" s="67"/>
      <c r="CP398" s="67"/>
      <c r="CQ398" s="67"/>
      <c r="CR398" s="67"/>
      <c r="CS398" s="67"/>
      <c r="CT398" s="67"/>
      <c r="CU398" s="67"/>
      <c r="CV398" s="67"/>
      <c r="CW398" s="67"/>
      <c r="CX398" s="67"/>
      <c r="CY398" s="67"/>
      <c r="CZ398" s="67"/>
      <c r="DA398" s="67"/>
      <c r="DB398" s="67"/>
      <c r="DC398" s="67"/>
      <c r="DD398" s="67"/>
      <c r="DE398" s="67"/>
      <c r="DF398" s="67"/>
      <c r="DG398" s="67"/>
      <c r="DH398" s="67"/>
      <c r="DI398" s="67"/>
      <c r="DJ398" s="67"/>
      <c r="DK398" s="67"/>
      <c r="DL398" s="67"/>
      <c r="DM398" s="67"/>
      <c r="DN398" s="67"/>
      <c r="DO398" s="67"/>
      <c r="DP398" s="67"/>
      <c r="DQ398" s="67"/>
      <c r="DR398" s="67"/>
      <c r="DS398" s="67"/>
      <c r="DT398" s="67"/>
      <c r="DU398" s="67"/>
    </row>
    <row r="399" spans="1:125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  <c r="AA399" s="67"/>
      <c r="AB399" s="67"/>
      <c r="AC399" s="67"/>
      <c r="AD399" s="67"/>
      <c r="AE399" s="67"/>
      <c r="AF399" s="67"/>
      <c r="AG399" s="67"/>
      <c r="AH399" s="67"/>
      <c r="AI399" s="67"/>
      <c r="AJ399" s="67"/>
      <c r="AK399" s="67"/>
      <c r="AL399" s="67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  <c r="AX399" s="67"/>
      <c r="AY399" s="67"/>
      <c r="AZ399" s="67"/>
      <c r="BA399" s="67"/>
      <c r="BB399" s="67"/>
      <c r="BC399" s="67"/>
      <c r="BD399" s="67"/>
      <c r="BE399" s="67"/>
      <c r="BF399" s="67"/>
      <c r="BG399" s="67"/>
      <c r="BH399" s="67"/>
      <c r="BI399" s="67"/>
      <c r="BJ399" s="67"/>
      <c r="BK399" s="67"/>
      <c r="BL399" s="67"/>
      <c r="BM399" s="67"/>
      <c r="BN399" s="67"/>
      <c r="BO399" s="67"/>
      <c r="BP399" s="67"/>
      <c r="BQ399" s="67"/>
      <c r="BR399" s="67"/>
      <c r="BS399" s="67"/>
      <c r="BT399" s="67"/>
      <c r="BU399" s="67"/>
      <c r="BV399" s="67"/>
      <c r="BW399" s="67"/>
      <c r="BX399" s="67"/>
      <c r="BY399" s="67"/>
      <c r="BZ399" s="67"/>
      <c r="CA399" s="67"/>
      <c r="CB399" s="67"/>
      <c r="CC399" s="67"/>
      <c r="CD399" s="67"/>
      <c r="CE399" s="67"/>
      <c r="CF399" s="67"/>
      <c r="CG399" s="67"/>
      <c r="CH399" s="67"/>
      <c r="CI399" s="67"/>
      <c r="CJ399" s="67"/>
      <c r="CK399" s="67"/>
      <c r="CL399" s="67"/>
      <c r="CM399" s="67"/>
      <c r="CN399" s="67"/>
      <c r="CO399" s="67"/>
      <c r="CP399" s="67"/>
      <c r="CQ399" s="67"/>
      <c r="CR399" s="67"/>
      <c r="CS399" s="67"/>
      <c r="CT399" s="67"/>
      <c r="CU399" s="67"/>
      <c r="CV399" s="67"/>
      <c r="CW399" s="67"/>
      <c r="CX399" s="67"/>
      <c r="CY399" s="67"/>
      <c r="CZ399" s="67"/>
      <c r="DA399" s="67"/>
      <c r="DB399" s="67"/>
      <c r="DC399" s="67"/>
      <c r="DD399" s="67"/>
      <c r="DE399" s="67"/>
      <c r="DF399" s="67"/>
      <c r="DG399" s="67"/>
      <c r="DH399" s="67"/>
      <c r="DI399" s="67"/>
      <c r="DJ399" s="67"/>
      <c r="DK399" s="67"/>
      <c r="DL399" s="67"/>
      <c r="DM399" s="67"/>
      <c r="DN399" s="67"/>
      <c r="DO399" s="67"/>
      <c r="DP399" s="67"/>
      <c r="DQ399" s="67"/>
      <c r="DR399" s="67"/>
      <c r="DS399" s="67"/>
      <c r="DT399" s="67"/>
      <c r="DU399" s="67"/>
    </row>
    <row r="400" spans="1:125" x14ac:dyDescent="0.25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  <c r="AA400" s="67"/>
      <c r="AB400" s="67"/>
      <c r="AC400" s="67"/>
      <c r="AD400" s="67"/>
      <c r="AE400" s="67"/>
      <c r="AF400" s="67"/>
      <c r="AG400" s="67"/>
      <c r="AH400" s="67"/>
      <c r="AI400" s="67"/>
      <c r="AJ400" s="67"/>
      <c r="AK400" s="67"/>
      <c r="AL400" s="67"/>
      <c r="AM400" s="67"/>
      <c r="AN400" s="67"/>
      <c r="AO400" s="67"/>
      <c r="AP400" s="67"/>
      <c r="AQ400" s="67"/>
      <c r="AR400" s="67"/>
      <c r="AS400" s="67"/>
      <c r="AT400" s="67"/>
      <c r="AU400" s="67"/>
      <c r="AV400" s="67"/>
      <c r="AW400" s="67"/>
      <c r="AX400" s="67"/>
      <c r="AY400" s="67"/>
      <c r="AZ400" s="67"/>
      <c r="BA400" s="67"/>
      <c r="BB400" s="67"/>
      <c r="BC400" s="67"/>
      <c r="BD400" s="67"/>
      <c r="BE400" s="67"/>
      <c r="BF400" s="67"/>
      <c r="BG400" s="67"/>
      <c r="BH400" s="67"/>
      <c r="BI400" s="67"/>
      <c r="BJ400" s="67"/>
      <c r="BK400" s="67"/>
      <c r="BL400" s="67"/>
      <c r="BM400" s="67"/>
      <c r="BN400" s="67"/>
      <c r="BO400" s="67"/>
      <c r="BP400" s="67"/>
      <c r="BQ400" s="67"/>
      <c r="BR400" s="67"/>
      <c r="BS400" s="67"/>
      <c r="BT400" s="67"/>
      <c r="BU400" s="67"/>
      <c r="BV400" s="67"/>
      <c r="BW400" s="67"/>
      <c r="BX400" s="67"/>
      <c r="BY400" s="67"/>
      <c r="BZ400" s="67"/>
      <c r="CA400" s="67"/>
      <c r="CB400" s="67"/>
      <c r="CC400" s="67"/>
      <c r="CD400" s="67"/>
      <c r="CE400" s="67"/>
      <c r="CF400" s="67"/>
      <c r="CG400" s="67"/>
      <c r="CH400" s="67"/>
      <c r="CI400" s="67"/>
      <c r="CJ400" s="67"/>
      <c r="CK400" s="67"/>
      <c r="CL400" s="67"/>
      <c r="CM400" s="67"/>
      <c r="CN400" s="67"/>
      <c r="CO400" s="67"/>
      <c r="CP400" s="67"/>
      <c r="CQ400" s="67"/>
      <c r="CR400" s="67"/>
      <c r="CS400" s="67"/>
      <c r="CT400" s="67"/>
      <c r="CU400" s="67"/>
      <c r="CV400" s="67"/>
      <c r="CW400" s="67"/>
      <c r="CX400" s="67"/>
      <c r="CY400" s="67"/>
      <c r="CZ400" s="67"/>
      <c r="DA400" s="67"/>
      <c r="DB400" s="67"/>
      <c r="DC400" s="67"/>
      <c r="DD400" s="67"/>
      <c r="DE400" s="67"/>
      <c r="DF400" s="67"/>
      <c r="DG400" s="67"/>
      <c r="DH400" s="67"/>
      <c r="DI400" s="67"/>
      <c r="DJ400" s="67"/>
      <c r="DK400" s="67"/>
      <c r="DL400" s="67"/>
      <c r="DM400" s="67"/>
      <c r="DN400" s="67"/>
      <c r="DO400" s="67"/>
      <c r="DP400" s="67"/>
      <c r="DQ400" s="67"/>
      <c r="DR400" s="67"/>
      <c r="DS400" s="67"/>
      <c r="DT400" s="67"/>
      <c r="DU400" s="67"/>
    </row>
    <row r="401" spans="1:125" x14ac:dyDescent="0.25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  <c r="AA401" s="67"/>
      <c r="AB401" s="67"/>
      <c r="AC401" s="67"/>
      <c r="AD401" s="67"/>
      <c r="AE401" s="67"/>
      <c r="AF401" s="67"/>
      <c r="AG401" s="67"/>
      <c r="AH401" s="67"/>
      <c r="AI401" s="67"/>
      <c r="AJ401" s="67"/>
      <c r="AK401" s="67"/>
      <c r="AL401" s="67"/>
      <c r="AM401" s="67"/>
      <c r="AN401" s="67"/>
      <c r="AO401" s="67"/>
      <c r="AP401" s="67"/>
      <c r="AQ401" s="67"/>
      <c r="AR401" s="67"/>
      <c r="AS401" s="67"/>
      <c r="AT401" s="67"/>
      <c r="AU401" s="67"/>
      <c r="AV401" s="67"/>
      <c r="AW401" s="67"/>
      <c r="AX401" s="67"/>
      <c r="AY401" s="67"/>
      <c r="AZ401" s="67"/>
      <c r="BA401" s="67"/>
      <c r="BB401" s="67"/>
      <c r="BC401" s="67"/>
      <c r="BD401" s="67"/>
      <c r="BE401" s="67"/>
      <c r="BF401" s="67"/>
      <c r="BG401" s="67"/>
      <c r="BH401" s="67"/>
      <c r="BI401" s="67"/>
      <c r="BJ401" s="67"/>
      <c r="BK401" s="67"/>
      <c r="BL401" s="67"/>
      <c r="BM401" s="67"/>
      <c r="BN401" s="67"/>
      <c r="BO401" s="67"/>
      <c r="BP401" s="67"/>
      <c r="BQ401" s="67"/>
      <c r="BR401" s="67"/>
      <c r="BS401" s="67"/>
      <c r="BT401" s="67"/>
      <c r="BU401" s="67"/>
      <c r="BV401" s="67"/>
      <c r="BW401" s="67"/>
      <c r="BX401" s="67"/>
      <c r="BY401" s="67"/>
      <c r="BZ401" s="67"/>
      <c r="CA401" s="67"/>
      <c r="CB401" s="67"/>
      <c r="CC401" s="67"/>
      <c r="CD401" s="67"/>
      <c r="CE401" s="67"/>
      <c r="CF401" s="67"/>
      <c r="CG401" s="67"/>
      <c r="CH401" s="67"/>
      <c r="CI401" s="67"/>
      <c r="CJ401" s="67"/>
      <c r="CK401" s="67"/>
      <c r="CL401" s="67"/>
      <c r="CM401" s="67"/>
      <c r="CN401" s="67"/>
      <c r="CO401" s="67"/>
      <c r="CP401" s="67"/>
      <c r="CQ401" s="67"/>
      <c r="CR401" s="67"/>
      <c r="CS401" s="67"/>
      <c r="CT401" s="67"/>
      <c r="CU401" s="67"/>
      <c r="CV401" s="67"/>
      <c r="CW401" s="67"/>
      <c r="CX401" s="67"/>
      <c r="CY401" s="67"/>
      <c r="CZ401" s="67"/>
      <c r="DA401" s="67"/>
      <c r="DB401" s="67"/>
      <c r="DC401" s="67"/>
      <c r="DD401" s="67"/>
      <c r="DE401" s="67"/>
      <c r="DF401" s="67"/>
      <c r="DG401" s="67"/>
      <c r="DH401" s="67"/>
      <c r="DI401" s="67"/>
      <c r="DJ401" s="67"/>
      <c r="DK401" s="67"/>
      <c r="DL401" s="67"/>
      <c r="DM401" s="67"/>
      <c r="DN401" s="67"/>
      <c r="DO401" s="67"/>
      <c r="DP401" s="67"/>
      <c r="DQ401" s="67"/>
      <c r="DR401" s="67"/>
      <c r="DS401" s="67"/>
      <c r="DT401" s="67"/>
      <c r="DU401" s="67"/>
    </row>
    <row r="402" spans="1:125" x14ac:dyDescent="0.25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A402" s="67"/>
      <c r="AB402" s="67"/>
      <c r="AC402" s="67"/>
      <c r="AD402" s="67"/>
      <c r="AE402" s="67"/>
      <c r="AF402" s="67"/>
      <c r="AG402" s="67"/>
      <c r="AH402" s="67"/>
      <c r="AI402" s="67"/>
      <c r="AJ402" s="67"/>
      <c r="AK402" s="67"/>
      <c r="AL402" s="67"/>
      <c r="AM402" s="67"/>
      <c r="AN402" s="67"/>
      <c r="AO402" s="67"/>
      <c r="AP402" s="67"/>
      <c r="AQ402" s="67"/>
      <c r="AR402" s="67"/>
      <c r="AS402" s="67"/>
      <c r="AT402" s="67"/>
      <c r="AU402" s="67"/>
      <c r="AV402" s="67"/>
      <c r="AW402" s="67"/>
      <c r="AX402" s="67"/>
      <c r="AY402" s="67"/>
      <c r="AZ402" s="67"/>
      <c r="BA402" s="67"/>
      <c r="BB402" s="67"/>
      <c r="BC402" s="67"/>
      <c r="BD402" s="67"/>
      <c r="BE402" s="67"/>
      <c r="BF402" s="67"/>
      <c r="BG402" s="67"/>
      <c r="BH402" s="67"/>
      <c r="BI402" s="67"/>
      <c r="BJ402" s="67"/>
      <c r="BK402" s="67"/>
      <c r="BL402" s="67"/>
      <c r="BM402" s="67"/>
      <c r="BN402" s="67"/>
      <c r="BO402" s="67"/>
      <c r="BP402" s="67"/>
      <c r="BQ402" s="67"/>
      <c r="BR402" s="67"/>
      <c r="BS402" s="67"/>
      <c r="BT402" s="67"/>
      <c r="BU402" s="67"/>
      <c r="BV402" s="67"/>
      <c r="BW402" s="67"/>
      <c r="BX402" s="67"/>
      <c r="BY402" s="67"/>
      <c r="BZ402" s="67"/>
      <c r="CA402" s="67"/>
      <c r="CB402" s="67"/>
      <c r="CC402" s="67"/>
      <c r="CD402" s="67"/>
      <c r="CE402" s="67"/>
      <c r="CF402" s="67"/>
      <c r="CG402" s="67"/>
      <c r="CH402" s="67"/>
      <c r="CI402" s="67"/>
      <c r="CJ402" s="67"/>
      <c r="CK402" s="67"/>
      <c r="CL402" s="67"/>
      <c r="CM402" s="67"/>
      <c r="CN402" s="67"/>
      <c r="CO402" s="67"/>
      <c r="CP402" s="67"/>
      <c r="CQ402" s="67"/>
      <c r="CR402" s="67"/>
      <c r="CS402" s="67"/>
      <c r="CT402" s="67"/>
      <c r="CU402" s="67"/>
      <c r="CV402" s="67"/>
      <c r="CW402" s="67"/>
      <c r="CX402" s="67"/>
      <c r="CY402" s="67"/>
      <c r="CZ402" s="67"/>
      <c r="DA402" s="67"/>
      <c r="DB402" s="67"/>
      <c r="DC402" s="67"/>
      <c r="DD402" s="67"/>
      <c r="DE402" s="67"/>
      <c r="DF402" s="67"/>
      <c r="DG402" s="67"/>
      <c r="DH402" s="67"/>
      <c r="DI402" s="67"/>
      <c r="DJ402" s="67"/>
      <c r="DK402" s="67"/>
      <c r="DL402" s="67"/>
      <c r="DM402" s="67"/>
      <c r="DN402" s="67"/>
      <c r="DO402" s="67"/>
      <c r="DP402" s="67"/>
      <c r="DQ402" s="67"/>
      <c r="DR402" s="67"/>
      <c r="DS402" s="67"/>
      <c r="DT402" s="67"/>
      <c r="DU402" s="67"/>
    </row>
    <row r="403" spans="1:125" x14ac:dyDescent="0.25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  <c r="AA403" s="67"/>
      <c r="AB403" s="67"/>
      <c r="AC403" s="67"/>
      <c r="AD403" s="67"/>
      <c r="AE403" s="67"/>
      <c r="AF403" s="67"/>
      <c r="AG403" s="67"/>
      <c r="AH403" s="67"/>
      <c r="AI403" s="67"/>
      <c r="AJ403" s="67"/>
      <c r="AK403" s="67"/>
      <c r="AL403" s="67"/>
      <c r="AM403" s="67"/>
      <c r="AN403" s="67"/>
      <c r="AO403" s="67"/>
      <c r="AP403" s="67"/>
      <c r="AQ403" s="67"/>
      <c r="AR403" s="67"/>
      <c r="AS403" s="67"/>
      <c r="AT403" s="67"/>
      <c r="AU403" s="67"/>
      <c r="AV403" s="67"/>
      <c r="AW403" s="67"/>
      <c r="AX403" s="67"/>
      <c r="AY403" s="67"/>
      <c r="AZ403" s="67"/>
      <c r="BA403" s="67"/>
      <c r="BB403" s="67"/>
      <c r="BC403" s="67"/>
      <c r="BD403" s="67"/>
      <c r="BE403" s="67"/>
      <c r="BF403" s="67"/>
      <c r="BG403" s="67"/>
      <c r="BH403" s="67"/>
      <c r="BI403" s="67"/>
      <c r="BJ403" s="67"/>
      <c r="BK403" s="67"/>
      <c r="BL403" s="67"/>
      <c r="BM403" s="67"/>
      <c r="BN403" s="67"/>
      <c r="BO403" s="67"/>
      <c r="BP403" s="67"/>
      <c r="BQ403" s="67"/>
      <c r="BR403" s="67"/>
      <c r="BS403" s="67"/>
      <c r="BT403" s="67"/>
      <c r="BU403" s="67"/>
      <c r="BV403" s="67"/>
      <c r="BW403" s="67"/>
      <c r="BX403" s="67"/>
      <c r="BY403" s="67"/>
      <c r="BZ403" s="67"/>
      <c r="CA403" s="67"/>
      <c r="CB403" s="67"/>
      <c r="CC403" s="67"/>
      <c r="CD403" s="67"/>
      <c r="CE403" s="67"/>
      <c r="CF403" s="67"/>
      <c r="CG403" s="67"/>
      <c r="CH403" s="67"/>
      <c r="CI403" s="67"/>
      <c r="CJ403" s="67"/>
      <c r="CK403" s="67"/>
      <c r="CL403" s="67"/>
      <c r="CM403" s="67"/>
      <c r="CN403" s="67"/>
      <c r="CO403" s="67"/>
      <c r="CP403" s="67"/>
      <c r="CQ403" s="67"/>
      <c r="CR403" s="67"/>
      <c r="CS403" s="67"/>
      <c r="CT403" s="67"/>
      <c r="CU403" s="67"/>
      <c r="CV403" s="67"/>
      <c r="CW403" s="67"/>
      <c r="CX403" s="67"/>
      <c r="CY403" s="67"/>
      <c r="CZ403" s="67"/>
      <c r="DA403" s="67"/>
      <c r="DB403" s="67"/>
      <c r="DC403" s="67"/>
      <c r="DD403" s="67"/>
      <c r="DE403" s="67"/>
      <c r="DF403" s="67"/>
      <c r="DG403" s="67"/>
      <c r="DH403" s="67"/>
      <c r="DI403" s="67"/>
      <c r="DJ403" s="67"/>
      <c r="DK403" s="67"/>
      <c r="DL403" s="67"/>
      <c r="DM403" s="67"/>
      <c r="DN403" s="67"/>
      <c r="DO403" s="67"/>
      <c r="DP403" s="67"/>
      <c r="DQ403" s="67"/>
      <c r="DR403" s="67"/>
      <c r="DS403" s="67"/>
      <c r="DT403" s="67"/>
      <c r="DU403" s="67"/>
    </row>
    <row r="404" spans="1:125" x14ac:dyDescent="0.25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  <c r="AA404" s="67"/>
      <c r="AB404" s="67"/>
      <c r="AC404" s="67"/>
      <c r="AD404" s="67"/>
      <c r="AE404" s="67"/>
      <c r="AF404" s="67"/>
      <c r="AG404" s="67"/>
      <c r="AH404" s="67"/>
      <c r="AI404" s="67"/>
      <c r="AJ404" s="67"/>
      <c r="AK404" s="67"/>
      <c r="AL404" s="67"/>
      <c r="AM404" s="67"/>
      <c r="AN404" s="67"/>
      <c r="AO404" s="67"/>
      <c r="AP404" s="67"/>
      <c r="AQ404" s="67"/>
      <c r="AR404" s="67"/>
      <c r="AS404" s="67"/>
      <c r="AT404" s="67"/>
      <c r="AU404" s="67"/>
      <c r="AV404" s="67"/>
      <c r="AW404" s="67"/>
      <c r="AX404" s="67"/>
      <c r="AY404" s="67"/>
      <c r="AZ404" s="67"/>
      <c r="BA404" s="67"/>
      <c r="BB404" s="67"/>
      <c r="BC404" s="67"/>
      <c r="BD404" s="67"/>
      <c r="BE404" s="67"/>
      <c r="BF404" s="67"/>
      <c r="BG404" s="67"/>
      <c r="BH404" s="67"/>
      <c r="BI404" s="67"/>
      <c r="BJ404" s="67"/>
      <c r="BK404" s="67"/>
      <c r="BL404" s="67"/>
      <c r="BM404" s="67"/>
      <c r="BN404" s="67"/>
      <c r="BO404" s="67"/>
      <c r="BP404" s="67"/>
      <c r="BQ404" s="67"/>
      <c r="BR404" s="67"/>
      <c r="BS404" s="67"/>
      <c r="BT404" s="67"/>
      <c r="BU404" s="67"/>
      <c r="BV404" s="67"/>
      <c r="BW404" s="67"/>
      <c r="BX404" s="67"/>
      <c r="BY404" s="67"/>
      <c r="BZ404" s="67"/>
      <c r="CA404" s="67"/>
      <c r="CB404" s="67"/>
      <c r="CC404" s="67"/>
      <c r="CD404" s="67"/>
      <c r="CE404" s="67"/>
      <c r="CF404" s="67"/>
      <c r="CG404" s="67"/>
      <c r="CH404" s="67"/>
      <c r="CI404" s="67"/>
      <c r="CJ404" s="67"/>
      <c r="CK404" s="67"/>
      <c r="CL404" s="67"/>
      <c r="CM404" s="67"/>
      <c r="CN404" s="67"/>
      <c r="CO404" s="67"/>
      <c r="CP404" s="67"/>
      <c r="CQ404" s="67"/>
      <c r="CR404" s="67"/>
      <c r="CS404" s="67"/>
      <c r="CT404" s="67"/>
      <c r="CU404" s="67"/>
      <c r="CV404" s="67"/>
      <c r="CW404" s="67"/>
      <c r="CX404" s="67"/>
      <c r="CY404" s="67"/>
      <c r="CZ404" s="67"/>
      <c r="DA404" s="67"/>
      <c r="DB404" s="67"/>
      <c r="DC404" s="67"/>
      <c r="DD404" s="67"/>
      <c r="DE404" s="67"/>
      <c r="DF404" s="67"/>
      <c r="DG404" s="67"/>
      <c r="DH404" s="67"/>
      <c r="DI404" s="67"/>
      <c r="DJ404" s="67"/>
      <c r="DK404" s="67"/>
      <c r="DL404" s="67"/>
      <c r="DM404" s="67"/>
      <c r="DN404" s="67"/>
      <c r="DO404" s="67"/>
      <c r="DP404" s="67"/>
      <c r="DQ404" s="67"/>
      <c r="DR404" s="67"/>
      <c r="DS404" s="67"/>
      <c r="DT404" s="67"/>
      <c r="DU404" s="67"/>
    </row>
    <row r="405" spans="1:125" x14ac:dyDescent="0.25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  <c r="AA405" s="67"/>
      <c r="AB405" s="67"/>
      <c r="AC405" s="67"/>
      <c r="AD405" s="67"/>
      <c r="AE405" s="67"/>
      <c r="AF405" s="67"/>
      <c r="AG405" s="67"/>
      <c r="AH405" s="67"/>
      <c r="AI405" s="67"/>
      <c r="AJ405" s="67"/>
      <c r="AK405" s="67"/>
      <c r="AL405" s="67"/>
      <c r="AM405" s="67"/>
      <c r="AN405" s="67"/>
      <c r="AO405" s="67"/>
      <c r="AP405" s="67"/>
      <c r="AQ405" s="67"/>
      <c r="AR405" s="67"/>
      <c r="AS405" s="67"/>
      <c r="AT405" s="67"/>
      <c r="AU405" s="67"/>
      <c r="AV405" s="67"/>
      <c r="AW405" s="67"/>
      <c r="AX405" s="67"/>
      <c r="AY405" s="67"/>
      <c r="AZ405" s="67"/>
      <c r="BA405" s="67"/>
      <c r="BB405" s="67"/>
      <c r="BC405" s="67"/>
      <c r="BD405" s="67"/>
      <c r="BE405" s="67"/>
      <c r="BF405" s="67"/>
      <c r="BG405" s="67"/>
      <c r="BH405" s="67"/>
      <c r="BI405" s="67"/>
      <c r="BJ405" s="67"/>
      <c r="BK405" s="67"/>
      <c r="BL405" s="67"/>
      <c r="BM405" s="67"/>
      <c r="BN405" s="67"/>
      <c r="BO405" s="67"/>
      <c r="BP405" s="67"/>
      <c r="BQ405" s="67"/>
      <c r="BR405" s="67"/>
      <c r="BS405" s="67"/>
      <c r="BT405" s="67"/>
      <c r="BU405" s="67"/>
      <c r="BV405" s="67"/>
      <c r="BW405" s="67"/>
      <c r="BX405" s="67"/>
      <c r="BY405" s="67"/>
      <c r="BZ405" s="67"/>
      <c r="CA405" s="67"/>
      <c r="CB405" s="67"/>
      <c r="CC405" s="67"/>
      <c r="CD405" s="67"/>
      <c r="CE405" s="67"/>
      <c r="CF405" s="67"/>
      <c r="CG405" s="67"/>
      <c r="CH405" s="67"/>
      <c r="CI405" s="67"/>
      <c r="CJ405" s="67"/>
      <c r="CK405" s="67"/>
      <c r="CL405" s="67"/>
      <c r="CM405" s="67"/>
      <c r="CN405" s="67"/>
      <c r="CO405" s="67"/>
      <c r="CP405" s="67"/>
      <c r="CQ405" s="67"/>
      <c r="CR405" s="67"/>
      <c r="CS405" s="67"/>
      <c r="CT405" s="67"/>
      <c r="CU405" s="67"/>
      <c r="CV405" s="67"/>
      <c r="CW405" s="67"/>
      <c r="CX405" s="67"/>
      <c r="CY405" s="67"/>
      <c r="CZ405" s="67"/>
      <c r="DA405" s="67"/>
      <c r="DB405" s="67"/>
      <c r="DC405" s="67"/>
      <c r="DD405" s="67"/>
      <c r="DE405" s="67"/>
      <c r="DF405" s="67"/>
      <c r="DG405" s="67"/>
      <c r="DH405" s="67"/>
      <c r="DI405" s="67"/>
      <c r="DJ405" s="67"/>
      <c r="DK405" s="67"/>
      <c r="DL405" s="67"/>
      <c r="DM405" s="67"/>
      <c r="DN405" s="67"/>
      <c r="DO405" s="67"/>
      <c r="DP405" s="67"/>
      <c r="DQ405" s="67"/>
      <c r="DR405" s="67"/>
      <c r="DS405" s="67"/>
      <c r="DT405" s="67"/>
      <c r="DU405" s="67"/>
    </row>
    <row r="406" spans="1:125" x14ac:dyDescent="0.25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7"/>
      <c r="L406" s="67"/>
      <c r="M406" s="67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  <c r="AF406" s="67"/>
      <c r="AG406" s="67"/>
      <c r="AH406" s="67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7"/>
      <c r="AT406" s="67"/>
      <c r="AU406" s="67"/>
      <c r="AV406" s="67"/>
      <c r="AW406" s="67"/>
      <c r="AX406" s="67"/>
      <c r="AY406" s="67"/>
      <c r="AZ406" s="67"/>
      <c r="BA406" s="67"/>
      <c r="BB406" s="67"/>
      <c r="BC406" s="67"/>
      <c r="BD406" s="67"/>
      <c r="BE406" s="67"/>
      <c r="BF406" s="67"/>
      <c r="BG406" s="67"/>
      <c r="BH406" s="67"/>
      <c r="BI406" s="67"/>
      <c r="BJ406" s="67"/>
      <c r="BK406" s="67"/>
      <c r="BL406" s="67"/>
      <c r="BM406" s="67"/>
      <c r="BN406" s="67"/>
      <c r="BO406" s="67"/>
      <c r="BP406" s="67"/>
      <c r="BQ406" s="67"/>
      <c r="BR406" s="67"/>
      <c r="BS406" s="67"/>
      <c r="BT406" s="67"/>
      <c r="BU406" s="67"/>
      <c r="BV406" s="67"/>
      <c r="BW406" s="67"/>
      <c r="BX406" s="67"/>
      <c r="BY406" s="67"/>
      <c r="BZ406" s="67"/>
      <c r="CA406" s="67"/>
      <c r="CB406" s="67"/>
      <c r="CC406" s="67"/>
      <c r="CD406" s="67"/>
      <c r="CE406" s="67"/>
      <c r="CF406" s="67"/>
      <c r="CG406" s="67"/>
      <c r="CH406" s="67"/>
      <c r="CI406" s="67"/>
      <c r="CJ406" s="67"/>
      <c r="CK406" s="67"/>
      <c r="CL406" s="67"/>
      <c r="CM406" s="67"/>
      <c r="CN406" s="67"/>
      <c r="CO406" s="67"/>
      <c r="CP406" s="67"/>
      <c r="CQ406" s="67"/>
      <c r="CR406" s="67"/>
      <c r="CS406" s="67"/>
      <c r="CT406" s="67"/>
      <c r="CU406" s="67"/>
      <c r="CV406" s="67"/>
      <c r="CW406" s="67"/>
      <c r="CX406" s="67"/>
      <c r="CY406" s="67"/>
      <c r="CZ406" s="67"/>
      <c r="DA406" s="67"/>
      <c r="DB406" s="67"/>
      <c r="DC406" s="67"/>
      <c r="DD406" s="67"/>
      <c r="DE406" s="67"/>
      <c r="DF406" s="67"/>
      <c r="DG406" s="67"/>
      <c r="DH406" s="67"/>
      <c r="DI406" s="67"/>
      <c r="DJ406" s="67"/>
      <c r="DK406" s="67"/>
      <c r="DL406" s="67"/>
      <c r="DM406" s="67"/>
      <c r="DN406" s="67"/>
      <c r="DO406" s="67"/>
      <c r="DP406" s="67"/>
      <c r="DQ406" s="67"/>
      <c r="DR406" s="67"/>
      <c r="DS406" s="67"/>
      <c r="DT406" s="67"/>
      <c r="DU406" s="67"/>
    </row>
    <row r="407" spans="1:125" x14ac:dyDescent="0.25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  <c r="AF407" s="67"/>
      <c r="AG407" s="67"/>
      <c r="AH407" s="67"/>
      <c r="AI407" s="67"/>
      <c r="AJ407" s="67"/>
      <c r="AK407" s="67"/>
      <c r="AL407" s="67"/>
      <c r="AM407" s="67"/>
      <c r="AN407" s="67"/>
      <c r="AO407" s="67"/>
      <c r="AP407" s="67"/>
      <c r="AQ407" s="67"/>
      <c r="AR407" s="67"/>
      <c r="AS407" s="67"/>
      <c r="AT407" s="67"/>
      <c r="AU407" s="67"/>
      <c r="AV407" s="67"/>
      <c r="AW407" s="67"/>
      <c r="AX407" s="67"/>
      <c r="AY407" s="67"/>
      <c r="AZ407" s="67"/>
      <c r="BA407" s="67"/>
      <c r="BB407" s="67"/>
      <c r="BC407" s="67"/>
      <c r="BD407" s="67"/>
      <c r="BE407" s="67"/>
      <c r="BF407" s="67"/>
      <c r="BG407" s="67"/>
      <c r="BH407" s="67"/>
      <c r="BI407" s="67"/>
      <c r="BJ407" s="67"/>
      <c r="BK407" s="67"/>
      <c r="BL407" s="67"/>
      <c r="BM407" s="67"/>
      <c r="BN407" s="67"/>
      <c r="BO407" s="67"/>
      <c r="BP407" s="67"/>
      <c r="BQ407" s="67"/>
      <c r="BR407" s="67"/>
      <c r="BS407" s="67"/>
      <c r="BT407" s="67"/>
      <c r="BU407" s="67"/>
      <c r="BV407" s="67"/>
      <c r="BW407" s="67"/>
      <c r="BX407" s="67"/>
      <c r="BY407" s="67"/>
      <c r="BZ407" s="67"/>
      <c r="CA407" s="67"/>
      <c r="CB407" s="67"/>
      <c r="CC407" s="67"/>
      <c r="CD407" s="67"/>
      <c r="CE407" s="67"/>
      <c r="CF407" s="67"/>
      <c r="CG407" s="67"/>
      <c r="CH407" s="67"/>
      <c r="CI407" s="67"/>
      <c r="CJ407" s="67"/>
      <c r="CK407" s="67"/>
      <c r="CL407" s="67"/>
      <c r="CM407" s="67"/>
      <c r="CN407" s="67"/>
      <c r="CO407" s="67"/>
      <c r="CP407" s="67"/>
      <c r="CQ407" s="67"/>
      <c r="CR407" s="67"/>
      <c r="CS407" s="67"/>
      <c r="CT407" s="67"/>
      <c r="CU407" s="67"/>
      <c r="CV407" s="67"/>
      <c r="CW407" s="67"/>
      <c r="CX407" s="67"/>
      <c r="CY407" s="67"/>
      <c r="CZ407" s="67"/>
      <c r="DA407" s="67"/>
      <c r="DB407" s="67"/>
      <c r="DC407" s="67"/>
      <c r="DD407" s="67"/>
      <c r="DE407" s="67"/>
      <c r="DF407" s="67"/>
      <c r="DG407" s="67"/>
      <c r="DH407" s="67"/>
      <c r="DI407" s="67"/>
      <c r="DJ407" s="67"/>
      <c r="DK407" s="67"/>
      <c r="DL407" s="67"/>
      <c r="DM407" s="67"/>
      <c r="DN407" s="67"/>
      <c r="DO407" s="67"/>
      <c r="DP407" s="67"/>
      <c r="DQ407" s="67"/>
      <c r="DR407" s="67"/>
      <c r="DS407" s="67"/>
      <c r="DT407" s="67"/>
      <c r="DU407" s="67"/>
    </row>
    <row r="408" spans="1:125" x14ac:dyDescent="0.25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  <c r="AF408" s="67"/>
      <c r="AG408" s="67"/>
      <c r="AH408" s="67"/>
      <c r="AI408" s="67"/>
      <c r="AJ408" s="67"/>
      <c r="AK408" s="67"/>
      <c r="AL408" s="67"/>
      <c r="AM408" s="67"/>
      <c r="AN408" s="67"/>
      <c r="AO408" s="67"/>
      <c r="AP408" s="67"/>
      <c r="AQ408" s="67"/>
      <c r="AR408" s="67"/>
      <c r="AS408" s="67"/>
      <c r="AT408" s="67"/>
      <c r="AU408" s="67"/>
      <c r="AV408" s="67"/>
      <c r="AW408" s="67"/>
      <c r="AX408" s="67"/>
      <c r="AY408" s="67"/>
      <c r="AZ408" s="67"/>
      <c r="BA408" s="67"/>
      <c r="BB408" s="67"/>
      <c r="BC408" s="67"/>
      <c r="BD408" s="67"/>
      <c r="BE408" s="67"/>
      <c r="BF408" s="67"/>
      <c r="BG408" s="67"/>
      <c r="BH408" s="67"/>
      <c r="BI408" s="67"/>
      <c r="BJ408" s="67"/>
      <c r="BK408" s="67"/>
      <c r="BL408" s="67"/>
      <c r="BM408" s="67"/>
      <c r="BN408" s="67"/>
      <c r="BO408" s="67"/>
      <c r="BP408" s="67"/>
      <c r="BQ408" s="67"/>
      <c r="BR408" s="67"/>
      <c r="BS408" s="67"/>
      <c r="BT408" s="67"/>
      <c r="BU408" s="67"/>
      <c r="BV408" s="67"/>
      <c r="BW408" s="67"/>
      <c r="BX408" s="67"/>
      <c r="BY408" s="67"/>
      <c r="BZ408" s="67"/>
      <c r="CA408" s="67"/>
      <c r="CB408" s="67"/>
      <c r="CC408" s="67"/>
      <c r="CD408" s="67"/>
      <c r="CE408" s="67"/>
      <c r="CF408" s="67"/>
      <c r="CG408" s="67"/>
      <c r="CH408" s="67"/>
      <c r="CI408" s="67"/>
      <c r="CJ408" s="67"/>
      <c r="CK408" s="67"/>
      <c r="CL408" s="67"/>
      <c r="CM408" s="67"/>
      <c r="CN408" s="67"/>
      <c r="CO408" s="67"/>
      <c r="CP408" s="67"/>
      <c r="CQ408" s="67"/>
      <c r="CR408" s="67"/>
      <c r="CS408" s="67"/>
      <c r="CT408" s="67"/>
      <c r="CU408" s="67"/>
      <c r="CV408" s="67"/>
      <c r="CW408" s="67"/>
      <c r="CX408" s="67"/>
      <c r="CY408" s="67"/>
      <c r="CZ408" s="67"/>
      <c r="DA408" s="67"/>
      <c r="DB408" s="67"/>
      <c r="DC408" s="67"/>
      <c r="DD408" s="67"/>
      <c r="DE408" s="67"/>
      <c r="DF408" s="67"/>
      <c r="DG408" s="67"/>
      <c r="DH408" s="67"/>
      <c r="DI408" s="67"/>
      <c r="DJ408" s="67"/>
      <c r="DK408" s="67"/>
      <c r="DL408" s="67"/>
      <c r="DM408" s="67"/>
      <c r="DN408" s="67"/>
      <c r="DO408" s="67"/>
      <c r="DP408" s="67"/>
      <c r="DQ408" s="67"/>
      <c r="DR408" s="67"/>
      <c r="DS408" s="67"/>
      <c r="DT408" s="67"/>
      <c r="DU408" s="67"/>
    </row>
    <row r="409" spans="1:125" x14ac:dyDescent="0.25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  <c r="AF409" s="67"/>
      <c r="AG409" s="67"/>
      <c r="AH409" s="67"/>
      <c r="AI409" s="67"/>
      <c r="AJ409" s="67"/>
      <c r="AK409" s="67"/>
      <c r="AL409" s="67"/>
      <c r="AM409" s="67"/>
      <c r="AN409" s="67"/>
      <c r="AO409" s="67"/>
      <c r="AP409" s="67"/>
      <c r="AQ409" s="67"/>
      <c r="AR409" s="67"/>
      <c r="AS409" s="67"/>
      <c r="AT409" s="67"/>
      <c r="AU409" s="67"/>
      <c r="AV409" s="67"/>
      <c r="AW409" s="67"/>
      <c r="AX409" s="67"/>
      <c r="AY409" s="67"/>
      <c r="AZ409" s="67"/>
      <c r="BA409" s="67"/>
      <c r="BB409" s="67"/>
      <c r="BC409" s="67"/>
      <c r="BD409" s="67"/>
      <c r="BE409" s="67"/>
      <c r="BF409" s="67"/>
      <c r="BG409" s="67"/>
      <c r="BH409" s="67"/>
      <c r="BI409" s="67"/>
      <c r="BJ409" s="67"/>
      <c r="BK409" s="67"/>
      <c r="BL409" s="67"/>
      <c r="BM409" s="67"/>
      <c r="BN409" s="67"/>
      <c r="BO409" s="67"/>
      <c r="BP409" s="67"/>
      <c r="BQ409" s="67"/>
      <c r="BR409" s="67"/>
      <c r="BS409" s="67"/>
      <c r="BT409" s="67"/>
      <c r="BU409" s="67"/>
      <c r="BV409" s="67"/>
      <c r="BW409" s="67"/>
      <c r="BX409" s="67"/>
      <c r="BY409" s="67"/>
      <c r="BZ409" s="67"/>
      <c r="CA409" s="67"/>
      <c r="CB409" s="67"/>
      <c r="CC409" s="67"/>
      <c r="CD409" s="67"/>
      <c r="CE409" s="67"/>
      <c r="CF409" s="67"/>
      <c r="CG409" s="67"/>
      <c r="CH409" s="67"/>
      <c r="CI409" s="67"/>
      <c r="CJ409" s="67"/>
      <c r="CK409" s="67"/>
      <c r="CL409" s="67"/>
      <c r="CM409" s="67"/>
      <c r="CN409" s="67"/>
      <c r="CO409" s="67"/>
      <c r="CP409" s="67"/>
      <c r="CQ409" s="67"/>
      <c r="CR409" s="67"/>
      <c r="CS409" s="67"/>
      <c r="CT409" s="67"/>
      <c r="CU409" s="67"/>
      <c r="CV409" s="67"/>
      <c r="CW409" s="67"/>
      <c r="CX409" s="67"/>
      <c r="CY409" s="67"/>
      <c r="CZ409" s="67"/>
      <c r="DA409" s="67"/>
      <c r="DB409" s="67"/>
      <c r="DC409" s="67"/>
      <c r="DD409" s="67"/>
      <c r="DE409" s="67"/>
      <c r="DF409" s="67"/>
      <c r="DG409" s="67"/>
      <c r="DH409" s="67"/>
      <c r="DI409" s="67"/>
      <c r="DJ409" s="67"/>
      <c r="DK409" s="67"/>
      <c r="DL409" s="67"/>
      <c r="DM409" s="67"/>
      <c r="DN409" s="67"/>
      <c r="DO409" s="67"/>
      <c r="DP409" s="67"/>
      <c r="DQ409" s="67"/>
      <c r="DR409" s="67"/>
      <c r="DS409" s="67"/>
      <c r="DT409" s="67"/>
      <c r="DU409" s="67"/>
    </row>
    <row r="410" spans="1:125" x14ac:dyDescent="0.25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  <c r="AF410" s="67"/>
      <c r="AG410" s="67"/>
      <c r="AH410" s="67"/>
      <c r="AI410" s="67"/>
      <c r="AJ410" s="67"/>
      <c r="AK410" s="67"/>
      <c r="AL410" s="67"/>
      <c r="AM410" s="67"/>
      <c r="AN410" s="67"/>
      <c r="AO410" s="67"/>
      <c r="AP410" s="67"/>
      <c r="AQ410" s="67"/>
      <c r="AR410" s="67"/>
      <c r="AS410" s="67"/>
      <c r="AT410" s="67"/>
      <c r="AU410" s="67"/>
      <c r="AV410" s="67"/>
      <c r="AW410" s="67"/>
      <c r="AX410" s="67"/>
      <c r="AY410" s="67"/>
      <c r="AZ410" s="67"/>
      <c r="BA410" s="67"/>
      <c r="BB410" s="67"/>
      <c r="BC410" s="67"/>
      <c r="BD410" s="67"/>
      <c r="BE410" s="67"/>
      <c r="BF410" s="67"/>
      <c r="BG410" s="67"/>
      <c r="BH410" s="67"/>
      <c r="BI410" s="67"/>
      <c r="BJ410" s="67"/>
      <c r="BK410" s="67"/>
      <c r="BL410" s="67"/>
      <c r="BM410" s="67"/>
      <c r="BN410" s="67"/>
      <c r="BO410" s="67"/>
      <c r="BP410" s="67"/>
      <c r="BQ410" s="67"/>
      <c r="BR410" s="67"/>
      <c r="BS410" s="67"/>
      <c r="BT410" s="67"/>
      <c r="BU410" s="67"/>
      <c r="BV410" s="67"/>
      <c r="BW410" s="67"/>
      <c r="BX410" s="67"/>
      <c r="BY410" s="67"/>
      <c r="BZ410" s="67"/>
      <c r="CA410" s="67"/>
      <c r="CB410" s="67"/>
      <c r="CC410" s="67"/>
      <c r="CD410" s="67"/>
      <c r="CE410" s="67"/>
      <c r="CF410" s="67"/>
      <c r="CG410" s="67"/>
      <c r="CH410" s="67"/>
      <c r="CI410" s="67"/>
      <c r="CJ410" s="67"/>
      <c r="CK410" s="67"/>
      <c r="CL410" s="67"/>
      <c r="CM410" s="67"/>
      <c r="CN410" s="67"/>
      <c r="CO410" s="67"/>
      <c r="CP410" s="67"/>
      <c r="CQ410" s="67"/>
      <c r="CR410" s="67"/>
      <c r="CS410" s="67"/>
      <c r="CT410" s="67"/>
      <c r="CU410" s="67"/>
      <c r="CV410" s="67"/>
      <c r="CW410" s="67"/>
      <c r="CX410" s="67"/>
      <c r="CY410" s="67"/>
      <c r="CZ410" s="67"/>
      <c r="DA410" s="67"/>
      <c r="DB410" s="67"/>
      <c r="DC410" s="67"/>
      <c r="DD410" s="67"/>
      <c r="DE410" s="67"/>
      <c r="DF410" s="67"/>
      <c r="DG410" s="67"/>
      <c r="DH410" s="67"/>
      <c r="DI410" s="67"/>
      <c r="DJ410" s="67"/>
      <c r="DK410" s="67"/>
      <c r="DL410" s="67"/>
      <c r="DM410" s="67"/>
      <c r="DN410" s="67"/>
      <c r="DO410" s="67"/>
      <c r="DP410" s="67"/>
      <c r="DQ410" s="67"/>
      <c r="DR410" s="67"/>
      <c r="DS410" s="67"/>
      <c r="DT410" s="67"/>
      <c r="DU410" s="67"/>
    </row>
    <row r="411" spans="1:125" x14ac:dyDescent="0.25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  <c r="AF411" s="67"/>
      <c r="AG411" s="67"/>
      <c r="AH411" s="67"/>
      <c r="AI411" s="67"/>
      <c r="AJ411" s="67"/>
      <c r="AK411" s="67"/>
      <c r="AL411" s="67"/>
      <c r="AM411" s="67"/>
      <c r="AN411" s="67"/>
      <c r="AO411" s="67"/>
      <c r="AP411" s="67"/>
      <c r="AQ411" s="67"/>
      <c r="AR411" s="67"/>
      <c r="AS411" s="67"/>
      <c r="AT411" s="67"/>
      <c r="AU411" s="67"/>
      <c r="AV411" s="67"/>
      <c r="AW411" s="67"/>
      <c r="AX411" s="67"/>
      <c r="AY411" s="67"/>
      <c r="AZ411" s="67"/>
      <c r="BA411" s="67"/>
      <c r="BB411" s="67"/>
      <c r="BC411" s="67"/>
      <c r="BD411" s="67"/>
      <c r="BE411" s="67"/>
      <c r="BF411" s="67"/>
      <c r="BG411" s="67"/>
      <c r="BH411" s="67"/>
      <c r="BI411" s="67"/>
      <c r="BJ411" s="67"/>
      <c r="BK411" s="67"/>
      <c r="BL411" s="67"/>
      <c r="BM411" s="67"/>
      <c r="BN411" s="67"/>
      <c r="BO411" s="67"/>
      <c r="BP411" s="67"/>
      <c r="BQ411" s="67"/>
      <c r="BR411" s="67"/>
      <c r="BS411" s="67"/>
      <c r="BT411" s="67"/>
      <c r="BU411" s="67"/>
      <c r="BV411" s="67"/>
      <c r="BW411" s="67"/>
      <c r="BX411" s="67"/>
      <c r="BY411" s="67"/>
      <c r="BZ411" s="67"/>
      <c r="CA411" s="67"/>
      <c r="CB411" s="67"/>
      <c r="CC411" s="67"/>
      <c r="CD411" s="67"/>
      <c r="CE411" s="67"/>
      <c r="CF411" s="67"/>
      <c r="CG411" s="67"/>
      <c r="CH411" s="67"/>
      <c r="CI411" s="67"/>
      <c r="CJ411" s="67"/>
      <c r="CK411" s="67"/>
      <c r="CL411" s="67"/>
      <c r="CM411" s="67"/>
      <c r="CN411" s="67"/>
      <c r="CO411" s="67"/>
      <c r="CP411" s="67"/>
      <c r="CQ411" s="67"/>
      <c r="CR411" s="67"/>
      <c r="CS411" s="67"/>
      <c r="CT411" s="67"/>
      <c r="CU411" s="67"/>
      <c r="CV411" s="67"/>
      <c r="CW411" s="67"/>
      <c r="CX411" s="67"/>
      <c r="CY411" s="67"/>
      <c r="CZ411" s="67"/>
      <c r="DA411" s="67"/>
      <c r="DB411" s="67"/>
      <c r="DC411" s="67"/>
      <c r="DD411" s="67"/>
      <c r="DE411" s="67"/>
      <c r="DF411" s="67"/>
      <c r="DG411" s="67"/>
      <c r="DH411" s="67"/>
      <c r="DI411" s="67"/>
      <c r="DJ411" s="67"/>
      <c r="DK411" s="67"/>
      <c r="DL411" s="67"/>
      <c r="DM411" s="67"/>
      <c r="DN411" s="67"/>
      <c r="DO411" s="67"/>
      <c r="DP411" s="67"/>
      <c r="DQ411" s="67"/>
      <c r="DR411" s="67"/>
      <c r="DS411" s="67"/>
      <c r="DT411" s="67"/>
      <c r="DU411" s="67"/>
    </row>
    <row r="412" spans="1:125" x14ac:dyDescent="0.25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  <c r="AF412" s="67"/>
      <c r="AG412" s="67"/>
      <c r="AH412" s="67"/>
      <c r="AI412" s="67"/>
      <c r="AJ412" s="67"/>
      <c r="AK412" s="67"/>
      <c r="AL412" s="67"/>
      <c r="AM412" s="67"/>
      <c r="AN412" s="67"/>
      <c r="AO412" s="67"/>
      <c r="AP412" s="67"/>
      <c r="AQ412" s="67"/>
      <c r="AR412" s="67"/>
      <c r="AS412" s="67"/>
      <c r="AT412" s="67"/>
      <c r="AU412" s="67"/>
      <c r="AV412" s="67"/>
      <c r="AW412" s="67"/>
      <c r="AX412" s="67"/>
      <c r="AY412" s="67"/>
      <c r="AZ412" s="67"/>
      <c r="BA412" s="67"/>
      <c r="BB412" s="67"/>
      <c r="BC412" s="67"/>
      <c r="BD412" s="67"/>
      <c r="BE412" s="67"/>
      <c r="BF412" s="67"/>
      <c r="BG412" s="67"/>
      <c r="BH412" s="67"/>
      <c r="BI412" s="67"/>
      <c r="BJ412" s="67"/>
      <c r="BK412" s="67"/>
      <c r="BL412" s="67"/>
      <c r="BM412" s="67"/>
      <c r="BN412" s="67"/>
      <c r="BO412" s="67"/>
      <c r="BP412" s="67"/>
      <c r="BQ412" s="67"/>
      <c r="BR412" s="67"/>
      <c r="BS412" s="67"/>
      <c r="BT412" s="67"/>
      <c r="BU412" s="67"/>
      <c r="BV412" s="67"/>
      <c r="BW412" s="67"/>
      <c r="BX412" s="67"/>
      <c r="BY412" s="67"/>
      <c r="BZ412" s="67"/>
      <c r="CA412" s="67"/>
      <c r="CB412" s="67"/>
      <c r="CC412" s="67"/>
      <c r="CD412" s="67"/>
      <c r="CE412" s="67"/>
      <c r="CF412" s="67"/>
      <c r="CG412" s="67"/>
      <c r="CH412" s="67"/>
      <c r="CI412" s="67"/>
      <c r="CJ412" s="67"/>
      <c r="CK412" s="67"/>
      <c r="CL412" s="67"/>
      <c r="CM412" s="67"/>
      <c r="CN412" s="67"/>
      <c r="CO412" s="67"/>
      <c r="CP412" s="67"/>
      <c r="CQ412" s="67"/>
      <c r="CR412" s="67"/>
      <c r="CS412" s="67"/>
      <c r="CT412" s="67"/>
      <c r="CU412" s="67"/>
      <c r="CV412" s="67"/>
      <c r="CW412" s="67"/>
      <c r="CX412" s="67"/>
      <c r="CY412" s="67"/>
      <c r="CZ412" s="67"/>
      <c r="DA412" s="67"/>
      <c r="DB412" s="67"/>
      <c r="DC412" s="67"/>
      <c r="DD412" s="67"/>
      <c r="DE412" s="67"/>
      <c r="DF412" s="67"/>
      <c r="DG412" s="67"/>
      <c r="DH412" s="67"/>
      <c r="DI412" s="67"/>
      <c r="DJ412" s="67"/>
      <c r="DK412" s="67"/>
      <c r="DL412" s="67"/>
      <c r="DM412" s="67"/>
      <c r="DN412" s="67"/>
      <c r="DO412" s="67"/>
      <c r="DP412" s="67"/>
      <c r="DQ412" s="67"/>
      <c r="DR412" s="67"/>
      <c r="DS412" s="67"/>
      <c r="DT412" s="67"/>
      <c r="DU412" s="67"/>
    </row>
    <row r="413" spans="1:125" x14ac:dyDescent="0.25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  <c r="AF413" s="67"/>
      <c r="AG413" s="67"/>
      <c r="AH413" s="67"/>
      <c r="AI413" s="67"/>
      <c r="AJ413" s="67"/>
      <c r="AK413" s="67"/>
      <c r="AL413" s="67"/>
      <c r="AM413" s="67"/>
      <c r="AN413" s="67"/>
      <c r="AO413" s="67"/>
      <c r="AP413" s="67"/>
      <c r="AQ413" s="67"/>
      <c r="AR413" s="67"/>
      <c r="AS413" s="67"/>
      <c r="AT413" s="67"/>
      <c r="AU413" s="67"/>
      <c r="AV413" s="67"/>
      <c r="AW413" s="67"/>
      <c r="AX413" s="67"/>
      <c r="AY413" s="67"/>
      <c r="AZ413" s="67"/>
      <c r="BA413" s="67"/>
      <c r="BB413" s="67"/>
      <c r="BC413" s="67"/>
      <c r="BD413" s="67"/>
      <c r="BE413" s="67"/>
      <c r="BF413" s="67"/>
      <c r="BG413" s="67"/>
      <c r="BH413" s="67"/>
      <c r="BI413" s="67"/>
      <c r="BJ413" s="67"/>
      <c r="BK413" s="67"/>
      <c r="BL413" s="67"/>
      <c r="BM413" s="67"/>
      <c r="BN413" s="67"/>
      <c r="BO413" s="67"/>
      <c r="BP413" s="67"/>
      <c r="BQ413" s="67"/>
      <c r="BR413" s="67"/>
      <c r="BS413" s="67"/>
      <c r="BT413" s="67"/>
      <c r="BU413" s="67"/>
      <c r="BV413" s="67"/>
      <c r="BW413" s="67"/>
      <c r="BX413" s="67"/>
      <c r="BY413" s="67"/>
      <c r="BZ413" s="67"/>
      <c r="CA413" s="67"/>
      <c r="CB413" s="67"/>
      <c r="CC413" s="67"/>
      <c r="CD413" s="67"/>
      <c r="CE413" s="67"/>
      <c r="CF413" s="67"/>
      <c r="CG413" s="67"/>
      <c r="CH413" s="67"/>
      <c r="CI413" s="67"/>
      <c r="CJ413" s="67"/>
      <c r="CK413" s="67"/>
      <c r="CL413" s="67"/>
      <c r="CM413" s="67"/>
      <c r="CN413" s="67"/>
      <c r="CO413" s="67"/>
      <c r="CP413" s="67"/>
      <c r="CQ413" s="67"/>
      <c r="CR413" s="67"/>
      <c r="CS413" s="67"/>
      <c r="CT413" s="67"/>
      <c r="CU413" s="67"/>
      <c r="CV413" s="67"/>
      <c r="CW413" s="67"/>
      <c r="CX413" s="67"/>
      <c r="CY413" s="67"/>
      <c r="CZ413" s="67"/>
      <c r="DA413" s="67"/>
      <c r="DB413" s="67"/>
      <c r="DC413" s="67"/>
      <c r="DD413" s="67"/>
      <c r="DE413" s="67"/>
      <c r="DF413" s="67"/>
      <c r="DG413" s="67"/>
      <c r="DH413" s="67"/>
      <c r="DI413" s="67"/>
      <c r="DJ413" s="67"/>
      <c r="DK413" s="67"/>
      <c r="DL413" s="67"/>
      <c r="DM413" s="67"/>
      <c r="DN413" s="67"/>
      <c r="DO413" s="67"/>
      <c r="DP413" s="67"/>
      <c r="DQ413" s="67"/>
      <c r="DR413" s="67"/>
      <c r="DS413" s="67"/>
      <c r="DT413" s="67"/>
      <c r="DU413" s="67"/>
    </row>
    <row r="414" spans="1:125" x14ac:dyDescent="0.25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  <c r="AF414" s="67"/>
      <c r="AG414" s="67"/>
      <c r="AH414" s="67"/>
      <c r="AI414" s="67"/>
      <c r="AJ414" s="67"/>
      <c r="AK414" s="67"/>
      <c r="AL414" s="67"/>
      <c r="AM414" s="67"/>
      <c r="AN414" s="67"/>
      <c r="AO414" s="67"/>
      <c r="AP414" s="67"/>
      <c r="AQ414" s="67"/>
      <c r="AR414" s="67"/>
      <c r="AS414" s="67"/>
      <c r="AT414" s="67"/>
      <c r="AU414" s="67"/>
      <c r="AV414" s="67"/>
      <c r="AW414" s="67"/>
      <c r="AX414" s="67"/>
      <c r="AY414" s="67"/>
      <c r="AZ414" s="67"/>
      <c r="BA414" s="67"/>
      <c r="BB414" s="67"/>
      <c r="BC414" s="67"/>
      <c r="BD414" s="67"/>
      <c r="BE414" s="67"/>
      <c r="BF414" s="67"/>
      <c r="BG414" s="67"/>
      <c r="BH414" s="67"/>
      <c r="BI414" s="67"/>
      <c r="BJ414" s="67"/>
      <c r="BK414" s="67"/>
      <c r="BL414" s="67"/>
      <c r="BM414" s="67"/>
      <c r="BN414" s="67"/>
      <c r="BO414" s="67"/>
      <c r="BP414" s="67"/>
      <c r="BQ414" s="67"/>
      <c r="BR414" s="67"/>
      <c r="BS414" s="67"/>
      <c r="BT414" s="67"/>
      <c r="BU414" s="67"/>
      <c r="BV414" s="67"/>
      <c r="BW414" s="67"/>
      <c r="BX414" s="67"/>
      <c r="BY414" s="67"/>
      <c r="BZ414" s="67"/>
      <c r="CA414" s="67"/>
      <c r="CB414" s="67"/>
      <c r="CC414" s="67"/>
      <c r="CD414" s="67"/>
      <c r="CE414" s="67"/>
      <c r="CF414" s="67"/>
      <c r="CG414" s="67"/>
      <c r="CH414" s="67"/>
      <c r="CI414" s="67"/>
      <c r="CJ414" s="67"/>
      <c r="CK414" s="67"/>
      <c r="CL414" s="67"/>
      <c r="CM414" s="67"/>
      <c r="CN414" s="67"/>
      <c r="CO414" s="67"/>
      <c r="CP414" s="67"/>
      <c r="CQ414" s="67"/>
      <c r="CR414" s="67"/>
      <c r="CS414" s="67"/>
      <c r="CT414" s="67"/>
      <c r="CU414" s="67"/>
      <c r="CV414" s="67"/>
      <c r="CW414" s="67"/>
      <c r="CX414" s="67"/>
      <c r="CY414" s="67"/>
      <c r="CZ414" s="67"/>
      <c r="DA414" s="67"/>
      <c r="DB414" s="67"/>
      <c r="DC414" s="67"/>
      <c r="DD414" s="67"/>
      <c r="DE414" s="67"/>
      <c r="DF414" s="67"/>
      <c r="DG414" s="67"/>
      <c r="DH414" s="67"/>
      <c r="DI414" s="67"/>
      <c r="DJ414" s="67"/>
      <c r="DK414" s="67"/>
      <c r="DL414" s="67"/>
      <c r="DM414" s="67"/>
      <c r="DN414" s="67"/>
      <c r="DO414" s="67"/>
      <c r="DP414" s="67"/>
      <c r="DQ414" s="67"/>
      <c r="DR414" s="67"/>
      <c r="DS414" s="67"/>
      <c r="DT414" s="67"/>
      <c r="DU414" s="67"/>
    </row>
    <row r="415" spans="1:125" x14ac:dyDescent="0.25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  <c r="AF415" s="67"/>
      <c r="AG415" s="67"/>
      <c r="AH415" s="67"/>
      <c r="AI415" s="67"/>
      <c r="AJ415" s="67"/>
      <c r="AK415" s="67"/>
      <c r="AL415" s="67"/>
      <c r="AM415" s="67"/>
      <c r="AN415" s="67"/>
      <c r="AO415" s="67"/>
      <c r="AP415" s="67"/>
      <c r="AQ415" s="67"/>
      <c r="AR415" s="67"/>
      <c r="AS415" s="67"/>
      <c r="AT415" s="67"/>
      <c r="AU415" s="67"/>
      <c r="AV415" s="67"/>
      <c r="AW415" s="67"/>
      <c r="AX415" s="67"/>
      <c r="AY415" s="67"/>
      <c r="AZ415" s="67"/>
      <c r="BA415" s="67"/>
      <c r="BB415" s="67"/>
      <c r="BC415" s="67"/>
      <c r="BD415" s="67"/>
      <c r="BE415" s="67"/>
      <c r="BF415" s="67"/>
      <c r="BG415" s="67"/>
      <c r="BH415" s="67"/>
      <c r="BI415" s="67"/>
      <c r="BJ415" s="67"/>
      <c r="BK415" s="67"/>
      <c r="BL415" s="67"/>
      <c r="BM415" s="67"/>
      <c r="BN415" s="67"/>
      <c r="BO415" s="67"/>
      <c r="BP415" s="67"/>
      <c r="BQ415" s="67"/>
      <c r="BR415" s="67"/>
      <c r="BS415" s="67"/>
      <c r="BT415" s="67"/>
      <c r="BU415" s="67"/>
      <c r="BV415" s="67"/>
      <c r="BW415" s="67"/>
      <c r="BX415" s="67"/>
      <c r="BY415" s="67"/>
      <c r="BZ415" s="67"/>
      <c r="CA415" s="67"/>
      <c r="CB415" s="67"/>
      <c r="CC415" s="67"/>
      <c r="CD415" s="67"/>
      <c r="CE415" s="67"/>
      <c r="CF415" s="67"/>
      <c r="CG415" s="67"/>
      <c r="CH415" s="67"/>
      <c r="CI415" s="67"/>
      <c r="CJ415" s="67"/>
      <c r="CK415" s="67"/>
      <c r="CL415" s="67"/>
      <c r="CM415" s="67"/>
      <c r="CN415" s="67"/>
      <c r="CO415" s="67"/>
      <c r="CP415" s="67"/>
      <c r="CQ415" s="67"/>
      <c r="CR415" s="67"/>
      <c r="CS415" s="67"/>
      <c r="CT415" s="67"/>
      <c r="CU415" s="67"/>
      <c r="CV415" s="67"/>
      <c r="CW415" s="67"/>
      <c r="CX415" s="67"/>
      <c r="CY415" s="67"/>
      <c r="CZ415" s="67"/>
      <c r="DA415" s="67"/>
      <c r="DB415" s="67"/>
      <c r="DC415" s="67"/>
      <c r="DD415" s="67"/>
      <c r="DE415" s="67"/>
      <c r="DF415" s="67"/>
      <c r="DG415" s="67"/>
      <c r="DH415" s="67"/>
      <c r="DI415" s="67"/>
      <c r="DJ415" s="67"/>
      <c r="DK415" s="67"/>
      <c r="DL415" s="67"/>
      <c r="DM415" s="67"/>
      <c r="DN415" s="67"/>
      <c r="DO415" s="67"/>
      <c r="DP415" s="67"/>
      <c r="DQ415" s="67"/>
      <c r="DR415" s="67"/>
      <c r="DS415" s="67"/>
      <c r="DT415" s="67"/>
      <c r="DU415" s="67"/>
    </row>
    <row r="416" spans="1:125" x14ac:dyDescent="0.25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  <c r="AF416" s="67"/>
      <c r="AG416" s="67"/>
      <c r="AH416" s="67"/>
      <c r="AI416" s="67"/>
      <c r="AJ416" s="67"/>
      <c r="AK416" s="67"/>
      <c r="AL416" s="67"/>
      <c r="AM416" s="67"/>
      <c r="AN416" s="67"/>
      <c r="AO416" s="67"/>
      <c r="AP416" s="67"/>
      <c r="AQ416" s="67"/>
      <c r="AR416" s="67"/>
      <c r="AS416" s="67"/>
      <c r="AT416" s="67"/>
      <c r="AU416" s="67"/>
      <c r="AV416" s="67"/>
      <c r="AW416" s="67"/>
      <c r="AX416" s="67"/>
      <c r="AY416" s="67"/>
      <c r="AZ416" s="67"/>
      <c r="BA416" s="67"/>
      <c r="BB416" s="67"/>
      <c r="BC416" s="67"/>
      <c r="BD416" s="67"/>
      <c r="BE416" s="67"/>
      <c r="BF416" s="67"/>
      <c r="BG416" s="67"/>
      <c r="BH416" s="67"/>
      <c r="BI416" s="67"/>
      <c r="BJ416" s="67"/>
      <c r="BK416" s="67"/>
      <c r="BL416" s="67"/>
      <c r="BM416" s="67"/>
      <c r="BN416" s="67"/>
      <c r="BO416" s="67"/>
      <c r="BP416" s="67"/>
      <c r="BQ416" s="67"/>
      <c r="BR416" s="67"/>
      <c r="BS416" s="67"/>
      <c r="BT416" s="67"/>
      <c r="BU416" s="67"/>
      <c r="BV416" s="67"/>
      <c r="BW416" s="67"/>
      <c r="BX416" s="67"/>
      <c r="BY416" s="67"/>
      <c r="BZ416" s="67"/>
      <c r="CA416" s="67"/>
      <c r="CB416" s="67"/>
      <c r="CC416" s="67"/>
      <c r="CD416" s="67"/>
      <c r="CE416" s="67"/>
      <c r="CF416" s="67"/>
      <c r="CG416" s="67"/>
      <c r="CH416" s="67"/>
      <c r="CI416" s="67"/>
      <c r="CJ416" s="67"/>
      <c r="CK416" s="67"/>
      <c r="CL416" s="67"/>
      <c r="CM416" s="67"/>
      <c r="CN416" s="67"/>
      <c r="CO416" s="67"/>
      <c r="CP416" s="67"/>
      <c r="CQ416" s="67"/>
      <c r="CR416" s="67"/>
      <c r="CS416" s="67"/>
      <c r="CT416" s="67"/>
      <c r="CU416" s="67"/>
      <c r="CV416" s="67"/>
      <c r="CW416" s="67"/>
      <c r="CX416" s="67"/>
      <c r="CY416" s="67"/>
      <c r="CZ416" s="67"/>
      <c r="DA416" s="67"/>
      <c r="DB416" s="67"/>
      <c r="DC416" s="67"/>
      <c r="DD416" s="67"/>
      <c r="DE416" s="67"/>
      <c r="DF416" s="67"/>
      <c r="DG416" s="67"/>
      <c r="DH416" s="67"/>
      <c r="DI416" s="67"/>
      <c r="DJ416" s="67"/>
      <c r="DK416" s="67"/>
      <c r="DL416" s="67"/>
      <c r="DM416" s="67"/>
      <c r="DN416" s="67"/>
      <c r="DO416" s="67"/>
      <c r="DP416" s="67"/>
      <c r="DQ416" s="67"/>
      <c r="DR416" s="67"/>
      <c r="DS416" s="67"/>
      <c r="DT416" s="67"/>
      <c r="DU416" s="67"/>
    </row>
    <row r="417" spans="1:125" x14ac:dyDescent="0.25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  <c r="AF417" s="67"/>
      <c r="AG417" s="67"/>
      <c r="AH417" s="67"/>
      <c r="AI417" s="67"/>
      <c r="AJ417" s="67"/>
      <c r="AK417" s="67"/>
      <c r="AL417" s="67"/>
      <c r="AM417" s="67"/>
      <c r="AN417" s="67"/>
      <c r="AO417" s="67"/>
      <c r="AP417" s="67"/>
      <c r="AQ417" s="67"/>
      <c r="AR417" s="67"/>
      <c r="AS417" s="67"/>
      <c r="AT417" s="67"/>
      <c r="AU417" s="67"/>
      <c r="AV417" s="67"/>
      <c r="AW417" s="67"/>
      <c r="AX417" s="67"/>
      <c r="AY417" s="67"/>
      <c r="AZ417" s="67"/>
      <c r="BA417" s="67"/>
      <c r="BB417" s="67"/>
      <c r="BC417" s="67"/>
      <c r="BD417" s="67"/>
      <c r="BE417" s="67"/>
      <c r="BF417" s="67"/>
      <c r="BG417" s="67"/>
      <c r="BH417" s="67"/>
      <c r="BI417" s="67"/>
      <c r="BJ417" s="67"/>
      <c r="BK417" s="67"/>
      <c r="BL417" s="67"/>
      <c r="BM417" s="67"/>
      <c r="BN417" s="67"/>
      <c r="BO417" s="67"/>
      <c r="BP417" s="67"/>
      <c r="BQ417" s="67"/>
      <c r="BR417" s="67"/>
      <c r="BS417" s="67"/>
      <c r="BT417" s="67"/>
      <c r="BU417" s="67"/>
      <c r="BV417" s="67"/>
      <c r="BW417" s="67"/>
      <c r="BX417" s="67"/>
      <c r="BY417" s="67"/>
      <c r="BZ417" s="67"/>
      <c r="CA417" s="67"/>
      <c r="CB417" s="67"/>
      <c r="CC417" s="67"/>
      <c r="CD417" s="67"/>
      <c r="CE417" s="67"/>
      <c r="CF417" s="67"/>
      <c r="CG417" s="67"/>
      <c r="CH417" s="67"/>
      <c r="CI417" s="67"/>
      <c r="CJ417" s="67"/>
      <c r="CK417" s="67"/>
      <c r="CL417" s="67"/>
      <c r="CM417" s="67"/>
      <c r="CN417" s="67"/>
      <c r="CO417" s="67"/>
      <c r="CP417" s="67"/>
      <c r="CQ417" s="67"/>
      <c r="CR417" s="67"/>
      <c r="CS417" s="67"/>
      <c r="CT417" s="67"/>
      <c r="CU417" s="67"/>
      <c r="CV417" s="67"/>
      <c r="CW417" s="67"/>
      <c r="CX417" s="67"/>
      <c r="CY417" s="67"/>
      <c r="CZ417" s="67"/>
      <c r="DA417" s="67"/>
      <c r="DB417" s="67"/>
      <c r="DC417" s="67"/>
      <c r="DD417" s="67"/>
      <c r="DE417" s="67"/>
      <c r="DF417" s="67"/>
      <c r="DG417" s="67"/>
      <c r="DH417" s="67"/>
      <c r="DI417" s="67"/>
      <c r="DJ417" s="67"/>
      <c r="DK417" s="67"/>
      <c r="DL417" s="67"/>
      <c r="DM417" s="67"/>
      <c r="DN417" s="67"/>
      <c r="DO417" s="67"/>
      <c r="DP417" s="67"/>
      <c r="DQ417" s="67"/>
      <c r="DR417" s="67"/>
      <c r="DS417" s="67"/>
      <c r="DT417" s="67"/>
      <c r="DU417" s="67"/>
    </row>
    <row r="418" spans="1:125" x14ac:dyDescent="0.25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  <c r="AF418" s="67"/>
      <c r="AG418" s="67"/>
      <c r="AH418" s="67"/>
      <c r="AI418" s="67"/>
      <c r="AJ418" s="67"/>
      <c r="AK418" s="67"/>
      <c r="AL418" s="67"/>
      <c r="AM418" s="67"/>
      <c r="AN418" s="67"/>
      <c r="AO418" s="67"/>
      <c r="AP418" s="67"/>
      <c r="AQ418" s="67"/>
      <c r="AR418" s="67"/>
      <c r="AS418" s="67"/>
      <c r="AT418" s="67"/>
      <c r="AU418" s="67"/>
      <c r="AV418" s="67"/>
      <c r="AW418" s="67"/>
      <c r="AX418" s="67"/>
      <c r="AY418" s="67"/>
      <c r="AZ418" s="67"/>
      <c r="BA418" s="67"/>
      <c r="BB418" s="67"/>
      <c r="BC418" s="67"/>
      <c r="BD418" s="67"/>
      <c r="BE418" s="67"/>
      <c r="BF418" s="67"/>
      <c r="BG418" s="67"/>
      <c r="BH418" s="67"/>
      <c r="BI418" s="67"/>
      <c r="BJ418" s="67"/>
      <c r="BK418" s="67"/>
      <c r="BL418" s="67"/>
      <c r="BM418" s="67"/>
      <c r="BN418" s="67"/>
      <c r="BO418" s="67"/>
      <c r="BP418" s="67"/>
      <c r="BQ418" s="67"/>
      <c r="BR418" s="67"/>
      <c r="BS418" s="67"/>
      <c r="BT418" s="67"/>
      <c r="BU418" s="67"/>
      <c r="BV418" s="67"/>
      <c r="BW418" s="67"/>
      <c r="BX418" s="67"/>
      <c r="BY418" s="67"/>
      <c r="BZ418" s="67"/>
      <c r="CA418" s="67"/>
      <c r="CB418" s="67"/>
      <c r="CC418" s="67"/>
      <c r="CD418" s="67"/>
      <c r="CE418" s="67"/>
      <c r="CF418" s="67"/>
      <c r="CG418" s="67"/>
      <c r="CH418" s="67"/>
      <c r="CI418" s="67"/>
      <c r="CJ418" s="67"/>
      <c r="CK418" s="67"/>
      <c r="CL418" s="67"/>
      <c r="CM418" s="67"/>
      <c r="CN418" s="67"/>
      <c r="CO418" s="67"/>
      <c r="CP418" s="67"/>
      <c r="CQ418" s="67"/>
      <c r="CR418" s="67"/>
      <c r="CS418" s="67"/>
      <c r="CT418" s="67"/>
      <c r="CU418" s="67"/>
      <c r="CV418" s="67"/>
      <c r="CW418" s="67"/>
      <c r="CX418" s="67"/>
      <c r="CY418" s="67"/>
      <c r="CZ418" s="67"/>
      <c r="DA418" s="67"/>
      <c r="DB418" s="67"/>
      <c r="DC418" s="67"/>
      <c r="DD418" s="67"/>
      <c r="DE418" s="67"/>
      <c r="DF418" s="67"/>
      <c r="DG418" s="67"/>
      <c r="DH418" s="67"/>
      <c r="DI418" s="67"/>
      <c r="DJ418" s="67"/>
      <c r="DK418" s="67"/>
      <c r="DL418" s="67"/>
      <c r="DM418" s="67"/>
      <c r="DN418" s="67"/>
      <c r="DO418" s="67"/>
      <c r="DP418" s="67"/>
      <c r="DQ418" s="67"/>
      <c r="DR418" s="67"/>
      <c r="DS418" s="67"/>
      <c r="DT418" s="67"/>
      <c r="DU418" s="67"/>
    </row>
    <row r="419" spans="1:125" x14ac:dyDescent="0.25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  <c r="AF419" s="67"/>
      <c r="AG419" s="67"/>
      <c r="AH419" s="67"/>
      <c r="AI419" s="67"/>
      <c r="AJ419" s="67"/>
      <c r="AK419" s="67"/>
      <c r="AL419" s="67"/>
      <c r="AM419" s="67"/>
      <c r="AN419" s="67"/>
      <c r="AO419" s="67"/>
      <c r="AP419" s="67"/>
      <c r="AQ419" s="67"/>
      <c r="AR419" s="67"/>
      <c r="AS419" s="67"/>
      <c r="AT419" s="67"/>
      <c r="AU419" s="67"/>
      <c r="AV419" s="67"/>
      <c r="AW419" s="67"/>
      <c r="AX419" s="67"/>
      <c r="AY419" s="67"/>
      <c r="AZ419" s="67"/>
      <c r="BA419" s="67"/>
      <c r="BB419" s="67"/>
      <c r="BC419" s="67"/>
      <c r="BD419" s="67"/>
      <c r="BE419" s="67"/>
      <c r="BF419" s="67"/>
      <c r="BG419" s="67"/>
      <c r="BH419" s="67"/>
      <c r="BI419" s="67"/>
      <c r="BJ419" s="67"/>
      <c r="BK419" s="67"/>
      <c r="BL419" s="67"/>
      <c r="BM419" s="67"/>
      <c r="BN419" s="67"/>
      <c r="BO419" s="67"/>
      <c r="BP419" s="67"/>
      <c r="BQ419" s="67"/>
      <c r="BR419" s="67"/>
      <c r="BS419" s="67"/>
      <c r="BT419" s="67"/>
      <c r="BU419" s="67"/>
      <c r="BV419" s="67"/>
      <c r="BW419" s="67"/>
      <c r="BX419" s="67"/>
      <c r="BY419" s="67"/>
      <c r="BZ419" s="67"/>
      <c r="CA419" s="67"/>
      <c r="CB419" s="67"/>
      <c r="CC419" s="67"/>
      <c r="CD419" s="67"/>
      <c r="CE419" s="67"/>
      <c r="CF419" s="67"/>
      <c r="CG419" s="67"/>
      <c r="CH419" s="67"/>
      <c r="CI419" s="67"/>
      <c r="CJ419" s="67"/>
      <c r="CK419" s="67"/>
      <c r="CL419" s="67"/>
      <c r="CM419" s="67"/>
      <c r="CN419" s="67"/>
      <c r="CO419" s="67"/>
      <c r="CP419" s="67"/>
      <c r="CQ419" s="67"/>
      <c r="CR419" s="67"/>
      <c r="CS419" s="67"/>
      <c r="CT419" s="67"/>
      <c r="CU419" s="67"/>
      <c r="CV419" s="67"/>
      <c r="CW419" s="67"/>
      <c r="CX419" s="67"/>
      <c r="CY419" s="67"/>
      <c r="CZ419" s="67"/>
      <c r="DA419" s="67"/>
      <c r="DB419" s="67"/>
      <c r="DC419" s="67"/>
      <c r="DD419" s="67"/>
      <c r="DE419" s="67"/>
      <c r="DF419" s="67"/>
      <c r="DG419" s="67"/>
      <c r="DH419" s="67"/>
      <c r="DI419" s="67"/>
      <c r="DJ419" s="67"/>
      <c r="DK419" s="67"/>
      <c r="DL419" s="67"/>
      <c r="DM419" s="67"/>
      <c r="DN419" s="67"/>
      <c r="DO419" s="67"/>
      <c r="DP419" s="67"/>
      <c r="DQ419" s="67"/>
      <c r="DR419" s="67"/>
      <c r="DS419" s="67"/>
      <c r="DT419" s="67"/>
      <c r="DU419" s="67"/>
    </row>
    <row r="420" spans="1:125" x14ac:dyDescent="0.25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  <c r="AF420" s="67"/>
      <c r="AG420" s="67"/>
      <c r="AH420" s="67"/>
      <c r="AI420" s="67"/>
      <c r="AJ420" s="67"/>
      <c r="AK420" s="67"/>
      <c r="AL420" s="67"/>
      <c r="AM420" s="67"/>
      <c r="AN420" s="67"/>
      <c r="AO420" s="67"/>
      <c r="AP420" s="67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7"/>
      <c r="BB420" s="67"/>
      <c r="BC420" s="67"/>
      <c r="BD420" s="67"/>
      <c r="BE420" s="67"/>
      <c r="BF420" s="67"/>
      <c r="BG420" s="67"/>
      <c r="BH420" s="67"/>
      <c r="BI420" s="67"/>
      <c r="BJ420" s="67"/>
      <c r="BK420" s="67"/>
      <c r="BL420" s="67"/>
      <c r="BM420" s="67"/>
      <c r="BN420" s="67"/>
      <c r="BO420" s="67"/>
      <c r="BP420" s="67"/>
      <c r="BQ420" s="67"/>
      <c r="BR420" s="67"/>
      <c r="BS420" s="67"/>
      <c r="BT420" s="67"/>
      <c r="BU420" s="67"/>
      <c r="BV420" s="67"/>
      <c r="BW420" s="67"/>
      <c r="BX420" s="67"/>
      <c r="BY420" s="67"/>
      <c r="BZ420" s="67"/>
      <c r="CA420" s="67"/>
      <c r="CB420" s="67"/>
      <c r="CC420" s="67"/>
      <c r="CD420" s="67"/>
      <c r="CE420" s="67"/>
      <c r="CF420" s="67"/>
      <c r="CG420" s="67"/>
      <c r="CH420" s="67"/>
      <c r="CI420" s="67"/>
      <c r="CJ420" s="67"/>
      <c r="CK420" s="67"/>
      <c r="CL420" s="67"/>
      <c r="CM420" s="67"/>
      <c r="CN420" s="67"/>
      <c r="CO420" s="67"/>
      <c r="CP420" s="67"/>
      <c r="CQ420" s="67"/>
      <c r="CR420" s="67"/>
      <c r="CS420" s="67"/>
      <c r="CT420" s="67"/>
      <c r="CU420" s="67"/>
      <c r="CV420" s="67"/>
      <c r="CW420" s="67"/>
      <c r="CX420" s="67"/>
      <c r="CY420" s="67"/>
      <c r="CZ420" s="67"/>
      <c r="DA420" s="67"/>
      <c r="DB420" s="67"/>
      <c r="DC420" s="67"/>
      <c r="DD420" s="67"/>
      <c r="DE420" s="67"/>
      <c r="DF420" s="67"/>
      <c r="DG420" s="67"/>
      <c r="DH420" s="67"/>
      <c r="DI420" s="67"/>
      <c r="DJ420" s="67"/>
      <c r="DK420" s="67"/>
      <c r="DL420" s="67"/>
      <c r="DM420" s="67"/>
      <c r="DN420" s="67"/>
      <c r="DO420" s="67"/>
      <c r="DP420" s="67"/>
      <c r="DQ420" s="67"/>
      <c r="DR420" s="67"/>
      <c r="DS420" s="67"/>
      <c r="DT420" s="67"/>
      <c r="DU420" s="67"/>
    </row>
    <row r="421" spans="1:125" x14ac:dyDescent="0.25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  <c r="AI421" s="67"/>
      <c r="AJ421" s="67"/>
      <c r="AK421" s="67"/>
      <c r="AL421" s="67"/>
      <c r="AM421" s="67"/>
      <c r="AN421" s="67"/>
      <c r="AO421" s="67"/>
      <c r="AP421" s="67"/>
      <c r="AQ421" s="67"/>
      <c r="AR421" s="67"/>
      <c r="AS421" s="67"/>
      <c r="AT421" s="67"/>
      <c r="AU421" s="67"/>
      <c r="AV421" s="67"/>
      <c r="AW421" s="67"/>
      <c r="AX421" s="67"/>
      <c r="AY421" s="67"/>
      <c r="AZ421" s="67"/>
      <c r="BA421" s="67"/>
      <c r="BB421" s="67"/>
      <c r="BC421" s="67"/>
      <c r="BD421" s="67"/>
      <c r="BE421" s="67"/>
      <c r="BF421" s="67"/>
      <c r="BG421" s="67"/>
      <c r="BH421" s="67"/>
      <c r="BI421" s="67"/>
      <c r="BJ421" s="67"/>
      <c r="BK421" s="67"/>
      <c r="BL421" s="67"/>
      <c r="BM421" s="67"/>
      <c r="BN421" s="67"/>
      <c r="BO421" s="67"/>
      <c r="BP421" s="67"/>
      <c r="BQ421" s="67"/>
      <c r="BR421" s="67"/>
      <c r="BS421" s="67"/>
      <c r="BT421" s="67"/>
      <c r="BU421" s="67"/>
      <c r="BV421" s="67"/>
      <c r="BW421" s="67"/>
      <c r="BX421" s="67"/>
      <c r="BY421" s="67"/>
      <c r="BZ421" s="67"/>
      <c r="CA421" s="67"/>
      <c r="CB421" s="67"/>
      <c r="CC421" s="67"/>
      <c r="CD421" s="67"/>
      <c r="CE421" s="67"/>
      <c r="CF421" s="67"/>
      <c r="CG421" s="67"/>
      <c r="CH421" s="67"/>
      <c r="CI421" s="67"/>
      <c r="CJ421" s="67"/>
      <c r="CK421" s="67"/>
      <c r="CL421" s="67"/>
      <c r="CM421" s="67"/>
      <c r="CN421" s="67"/>
      <c r="CO421" s="67"/>
      <c r="CP421" s="67"/>
      <c r="CQ421" s="67"/>
      <c r="CR421" s="67"/>
      <c r="CS421" s="67"/>
      <c r="CT421" s="67"/>
      <c r="CU421" s="67"/>
      <c r="CV421" s="67"/>
      <c r="CW421" s="67"/>
      <c r="CX421" s="67"/>
      <c r="CY421" s="67"/>
      <c r="CZ421" s="67"/>
      <c r="DA421" s="67"/>
      <c r="DB421" s="67"/>
      <c r="DC421" s="67"/>
      <c r="DD421" s="67"/>
      <c r="DE421" s="67"/>
      <c r="DF421" s="67"/>
      <c r="DG421" s="67"/>
      <c r="DH421" s="67"/>
      <c r="DI421" s="67"/>
      <c r="DJ421" s="67"/>
      <c r="DK421" s="67"/>
      <c r="DL421" s="67"/>
      <c r="DM421" s="67"/>
      <c r="DN421" s="67"/>
      <c r="DO421" s="67"/>
      <c r="DP421" s="67"/>
      <c r="DQ421" s="67"/>
      <c r="DR421" s="67"/>
      <c r="DS421" s="67"/>
      <c r="DT421" s="67"/>
      <c r="DU421" s="67"/>
    </row>
    <row r="422" spans="1:125" x14ac:dyDescent="0.25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  <c r="AI422" s="67"/>
      <c r="AJ422" s="67"/>
      <c r="AK422" s="67"/>
      <c r="AL422" s="67"/>
      <c r="AM422" s="67"/>
      <c r="AN422" s="67"/>
      <c r="AO422" s="67"/>
      <c r="AP422" s="67"/>
      <c r="AQ422" s="67"/>
      <c r="AR422" s="67"/>
      <c r="AS422" s="67"/>
      <c r="AT422" s="67"/>
      <c r="AU422" s="67"/>
      <c r="AV422" s="67"/>
      <c r="AW422" s="67"/>
      <c r="AX422" s="67"/>
      <c r="AY422" s="67"/>
      <c r="AZ422" s="67"/>
      <c r="BA422" s="67"/>
      <c r="BB422" s="67"/>
      <c r="BC422" s="67"/>
      <c r="BD422" s="67"/>
      <c r="BE422" s="67"/>
      <c r="BF422" s="67"/>
      <c r="BG422" s="67"/>
      <c r="BH422" s="67"/>
      <c r="BI422" s="67"/>
      <c r="BJ422" s="67"/>
      <c r="BK422" s="67"/>
      <c r="BL422" s="67"/>
      <c r="BM422" s="67"/>
      <c r="BN422" s="67"/>
      <c r="BO422" s="67"/>
      <c r="BP422" s="67"/>
      <c r="BQ422" s="67"/>
      <c r="BR422" s="67"/>
      <c r="BS422" s="67"/>
      <c r="BT422" s="67"/>
      <c r="BU422" s="67"/>
      <c r="BV422" s="67"/>
      <c r="BW422" s="67"/>
      <c r="BX422" s="67"/>
      <c r="BY422" s="67"/>
      <c r="BZ422" s="67"/>
      <c r="CA422" s="67"/>
      <c r="CB422" s="67"/>
      <c r="CC422" s="67"/>
      <c r="CD422" s="67"/>
      <c r="CE422" s="67"/>
      <c r="CF422" s="67"/>
      <c r="CG422" s="67"/>
      <c r="CH422" s="67"/>
      <c r="CI422" s="67"/>
      <c r="CJ422" s="67"/>
      <c r="CK422" s="67"/>
      <c r="CL422" s="67"/>
      <c r="CM422" s="67"/>
      <c r="CN422" s="67"/>
      <c r="CO422" s="67"/>
      <c r="CP422" s="67"/>
      <c r="CQ422" s="67"/>
      <c r="CR422" s="67"/>
      <c r="CS422" s="67"/>
      <c r="CT422" s="67"/>
      <c r="CU422" s="67"/>
      <c r="CV422" s="67"/>
      <c r="CW422" s="67"/>
      <c r="CX422" s="67"/>
      <c r="CY422" s="67"/>
      <c r="CZ422" s="67"/>
      <c r="DA422" s="67"/>
      <c r="DB422" s="67"/>
      <c r="DC422" s="67"/>
      <c r="DD422" s="67"/>
      <c r="DE422" s="67"/>
      <c r="DF422" s="67"/>
      <c r="DG422" s="67"/>
      <c r="DH422" s="67"/>
      <c r="DI422" s="67"/>
      <c r="DJ422" s="67"/>
      <c r="DK422" s="67"/>
      <c r="DL422" s="67"/>
      <c r="DM422" s="67"/>
      <c r="DN422" s="67"/>
      <c r="DO422" s="67"/>
      <c r="DP422" s="67"/>
      <c r="DQ422" s="67"/>
      <c r="DR422" s="67"/>
      <c r="DS422" s="67"/>
      <c r="DT422" s="67"/>
      <c r="DU422" s="67"/>
    </row>
    <row r="423" spans="1:125" x14ac:dyDescent="0.25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  <c r="AF423" s="67"/>
      <c r="AG423" s="67"/>
      <c r="AH423" s="67"/>
      <c r="AI423" s="67"/>
      <c r="AJ423" s="67"/>
      <c r="AK423" s="67"/>
      <c r="AL423" s="67"/>
      <c r="AM423" s="67"/>
      <c r="AN423" s="67"/>
      <c r="AO423" s="67"/>
      <c r="AP423" s="67"/>
      <c r="AQ423" s="67"/>
      <c r="AR423" s="67"/>
      <c r="AS423" s="67"/>
      <c r="AT423" s="67"/>
      <c r="AU423" s="67"/>
      <c r="AV423" s="67"/>
      <c r="AW423" s="67"/>
      <c r="AX423" s="67"/>
      <c r="AY423" s="67"/>
      <c r="AZ423" s="67"/>
      <c r="BA423" s="67"/>
      <c r="BB423" s="67"/>
      <c r="BC423" s="67"/>
      <c r="BD423" s="67"/>
      <c r="BE423" s="67"/>
      <c r="BF423" s="67"/>
      <c r="BG423" s="67"/>
      <c r="BH423" s="67"/>
      <c r="BI423" s="67"/>
      <c r="BJ423" s="67"/>
      <c r="BK423" s="67"/>
      <c r="BL423" s="67"/>
      <c r="BM423" s="67"/>
      <c r="BN423" s="67"/>
      <c r="BO423" s="67"/>
      <c r="BP423" s="67"/>
      <c r="BQ423" s="67"/>
      <c r="BR423" s="67"/>
      <c r="BS423" s="67"/>
      <c r="BT423" s="67"/>
      <c r="BU423" s="67"/>
      <c r="BV423" s="67"/>
      <c r="BW423" s="67"/>
      <c r="BX423" s="67"/>
      <c r="BY423" s="67"/>
      <c r="BZ423" s="67"/>
      <c r="CA423" s="67"/>
      <c r="CB423" s="67"/>
      <c r="CC423" s="67"/>
      <c r="CD423" s="67"/>
      <c r="CE423" s="67"/>
      <c r="CF423" s="67"/>
      <c r="CG423" s="67"/>
      <c r="CH423" s="67"/>
      <c r="CI423" s="67"/>
      <c r="CJ423" s="67"/>
      <c r="CK423" s="67"/>
      <c r="CL423" s="67"/>
      <c r="CM423" s="67"/>
      <c r="CN423" s="67"/>
      <c r="CO423" s="67"/>
      <c r="CP423" s="67"/>
      <c r="CQ423" s="67"/>
      <c r="CR423" s="67"/>
      <c r="CS423" s="67"/>
      <c r="CT423" s="67"/>
      <c r="CU423" s="67"/>
      <c r="CV423" s="67"/>
      <c r="CW423" s="67"/>
      <c r="CX423" s="67"/>
      <c r="CY423" s="67"/>
      <c r="CZ423" s="67"/>
      <c r="DA423" s="67"/>
      <c r="DB423" s="67"/>
      <c r="DC423" s="67"/>
      <c r="DD423" s="67"/>
      <c r="DE423" s="67"/>
      <c r="DF423" s="67"/>
      <c r="DG423" s="67"/>
      <c r="DH423" s="67"/>
      <c r="DI423" s="67"/>
      <c r="DJ423" s="67"/>
      <c r="DK423" s="67"/>
      <c r="DL423" s="67"/>
      <c r="DM423" s="67"/>
      <c r="DN423" s="67"/>
      <c r="DO423" s="67"/>
      <c r="DP423" s="67"/>
      <c r="DQ423" s="67"/>
      <c r="DR423" s="67"/>
      <c r="DS423" s="67"/>
      <c r="DT423" s="67"/>
      <c r="DU423" s="67"/>
    </row>
    <row r="424" spans="1:125" x14ac:dyDescent="0.25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  <c r="AF424" s="67"/>
      <c r="AG424" s="67"/>
      <c r="AH424" s="67"/>
      <c r="AI424" s="67"/>
      <c r="AJ424" s="67"/>
      <c r="AK424" s="67"/>
      <c r="AL424" s="67"/>
      <c r="AM424" s="67"/>
      <c r="AN424" s="67"/>
      <c r="AO424" s="67"/>
      <c r="AP424" s="67"/>
      <c r="AQ424" s="67"/>
      <c r="AR424" s="67"/>
      <c r="AS424" s="67"/>
      <c r="AT424" s="67"/>
      <c r="AU424" s="67"/>
      <c r="AV424" s="67"/>
      <c r="AW424" s="67"/>
      <c r="AX424" s="67"/>
      <c r="AY424" s="67"/>
      <c r="AZ424" s="67"/>
      <c r="BA424" s="67"/>
      <c r="BB424" s="67"/>
      <c r="BC424" s="67"/>
      <c r="BD424" s="67"/>
      <c r="BE424" s="67"/>
      <c r="BF424" s="67"/>
      <c r="BG424" s="67"/>
      <c r="BH424" s="67"/>
      <c r="BI424" s="67"/>
      <c r="BJ424" s="67"/>
      <c r="BK424" s="67"/>
      <c r="BL424" s="67"/>
      <c r="BM424" s="67"/>
      <c r="BN424" s="67"/>
      <c r="BO424" s="67"/>
      <c r="BP424" s="67"/>
      <c r="BQ424" s="67"/>
      <c r="BR424" s="67"/>
      <c r="BS424" s="67"/>
      <c r="BT424" s="67"/>
      <c r="BU424" s="67"/>
      <c r="BV424" s="67"/>
      <c r="BW424" s="67"/>
      <c r="BX424" s="67"/>
      <c r="BY424" s="67"/>
      <c r="BZ424" s="67"/>
      <c r="CA424" s="67"/>
      <c r="CB424" s="67"/>
      <c r="CC424" s="67"/>
      <c r="CD424" s="67"/>
      <c r="CE424" s="67"/>
      <c r="CF424" s="67"/>
      <c r="CG424" s="67"/>
      <c r="CH424" s="67"/>
      <c r="CI424" s="67"/>
      <c r="CJ424" s="67"/>
      <c r="CK424" s="67"/>
      <c r="CL424" s="67"/>
      <c r="CM424" s="67"/>
      <c r="CN424" s="67"/>
      <c r="CO424" s="67"/>
      <c r="CP424" s="67"/>
      <c r="CQ424" s="67"/>
      <c r="CR424" s="67"/>
      <c r="CS424" s="67"/>
      <c r="CT424" s="67"/>
      <c r="CU424" s="67"/>
      <c r="CV424" s="67"/>
      <c r="CW424" s="67"/>
      <c r="CX424" s="67"/>
      <c r="CY424" s="67"/>
      <c r="CZ424" s="67"/>
      <c r="DA424" s="67"/>
      <c r="DB424" s="67"/>
      <c r="DC424" s="67"/>
      <c r="DD424" s="67"/>
      <c r="DE424" s="67"/>
      <c r="DF424" s="67"/>
      <c r="DG424" s="67"/>
      <c r="DH424" s="67"/>
      <c r="DI424" s="67"/>
      <c r="DJ424" s="67"/>
      <c r="DK424" s="67"/>
      <c r="DL424" s="67"/>
      <c r="DM424" s="67"/>
      <c r="DN424" s="67"/>
      <c r="DO424" s="67"/>
      <c r="DP424" s="67"/>
      <c r="DQ424" s="67"/>
      <c r="DR424" s="67"/>
      <c r="DS424" s="67"/>
      <c r="DT424" s="67"/>
      <c r="DU424" s="67"/>
    </row>
    <row r="425" spans="1:125" x14ac:dyDescent="0.25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  <c r="AF425" s="67"/>
      <c r="AG425" s="67"/>
      <c r="AH425" s="67"/>
      <c r="AI425" s="67"/>
      <c r="AJ425" s="67"/>
      <c r="AK425" s="67"/>
      <c r="AL425" s="67"/>
      <c r="AM425" s="67"/>
      <c r="AN425" s="67"/>
      <c r="AO425" s="67"/>
      <c r="AP425" s="67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7"/>
      <c r="BB425" s="67"/>
      <c r="BC425" s="67"/>
      <c r="BD425" s="67"/>
      <c r="BE425" s="67"/>
      <c r="BF425" s="67"/>
      <c r="BG425" s="67"/>
      <c r="BH425" s="67"/>
      <c r="BI425" s="67"/>
      <c r="BJ425" s="67"/>
      <c r="BK425" s="67"/>
      <c r="BL425" s="67"/>
      <c r="BM425" s="67"/>
      <c r="BN425" s="67"/>
      <c r="BO425" s="67"/>
      <c r="BP425" s="67"/>
      <c r="BQ425" s="67"/>
      <c r="BR425" s="67"/>
      <c r="BS425" s="67"/>
      <c r="BT425" s="67"/>
      <c r="BU425" s="67"/>
      <c r="BV425" s="67"/>
      <c r="BW425" s="67"/>
      <c r="BX425" s="67"/>
      <c r="BY425" s="67"/>
      <c r="BZ425" s="67"/>
      <c r="CA425" s="67"/>
      <c r="CB425" s="67"/>
      <c r="CC425" s="67"/>
      <c r="CD425" s="67"/>
      <c r="CE425" s="67"/>
      <c r="CF425" s="67"/>
      <c r="CG425" s="67"/>
      <c r="CH425" s="67"/>
      <c r="CI425" s="67"/>
      <c r="CJ425" s="67"/>
      <c r="CK425" s="67"/>
      <c r="CL425" s="67"/>
      <c r="CM425" s="67"/>
      <c r="CN425" s="67"/>
      <c r="CO425" s="67"/>
      <c r="CP425" s="67"/>
      <c r="CQ425" s="67"/>
      <c r="CR425" s="67"/>
      <c r="CS425" s="67"/>
      <c r="CT425" s="67"/>
      <c r="CU425" s="67"/>
      <c r="CV425" s="67"/>
      <c r="CW425" s="67"/>
      <c r="CX425" s="67"/>
      <c r="CY425" s="67"/>
      <c r="CZ425" s="67"/>
      <c r="DA425" s="67"/>
      <c r="DB425" s="67"/>
      <c r="DC425" s="67"/>
      <c r="DD425" s="67"/>
      <c r="DE425" s="67"/>
      <c r="DF425" s="67"/>
      <c r="DG425" s="67"/>
      <c r="DH425" s="67"/>
      <c r="DI425" s="67"/>
      <c r="DJ425" s="67"/>
      <c r="DK425" s="67"/>
      <c r="DL425" s="67"/>
      <c r="DM425" s="67"/>
      <c r="DN425" s="67"/>
      <c r="DO425" s="67"/>
      <c r="DP425" s="67"/>
      <c r="DQ425" s="67"/>
      <c r="DR425" s="67"/>
      <c r="DS425" s="67"/>
      <c r="DT425" s="67"/>
      <c r="DU425" s="67"/>
    </row>
    <row r="426" spans="1:125" x14ac:dyDescent="0.25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  <c r="AF426" s="67"/>
      <c r="AG426" s="67"/>
      <c r="AH426" s="67"/>
      <c r="AI426" s="67"/>
      <c r="AJ426" s="67"/>
      <c r="AK426" s="67"/>
      <c r="AL426" s="67"/>
      <c r="AM426" s="67"/>
      <c r="AN426" s="67"/>
      <c r="AO426" s="67"/>
      <c r="AP426" s="67"/>
      <c r="AQ426" s="67"/>
      <c r="AR426" s="67"/>
      <c r="AS426" s="67"/>
      <c r="AT426" s="67"/>
      <c r="AU426" s="67"/>
      <c r="AV426" s="67"/>
      <c r="AW426" s="67"/>
      <c r="AX426" s="67"/>
      <c r="AY426" s="67"/>
      <c r="AZ426" s="67"/>
      <c r="BA426" s="67"/>
      <c r="BB426" s="67"/>
      <c r="BC426" s="67"/>
      <c r="BD426" s="67"/>
      <c r="BE426" s="67"/>
      <c r="BF426" s="67"/>
      <c r="BG426" s="67"/>
      <c r="BH426" s="67"/>
      <c r="BI426" s="67"/>
      <c r="BJ426" s="67"/>
      <c r="BK426" s="67"/>
      <c r="BL426" s="67"/>
      <c r="BM426" s="67"/>
      <c r="BN426" s="67"/>
      <c r="BO426" s="67"/>
      <c r="BP426" s="67"/>
      <c r="BQ426" s="67"/>
      <c r="BR426" s="67"/>
      <c r="BS426" s="67"/>
      <c r="BT426" s="67"/>
      <c r="BU426" s="67"/>
      <c r="BV426" s="67"/>
      <c r="BW426" s="67"/>
      <c r="BX426" s="67"/>
      <c r="BY426" s="67"/>
      <c r="BZ426" s="67"/>
      <c r="CA426" s="67"/>
      <c r="CB426" s="67"/>
      <c r="CC426" s="67"/>
      <c r="CD426" s="67"/>
      <c r="CE426" s="67"/>
      <c r="CF426" s="67"/>
      <c r="CG426" s="67"/>
      <c r="CH426" s="67"/>
      <c r="CI426" s="67"/>
      <c r="CJ426" s="67"/>
      <c r="CK426" s="67"/>
      <c r="CL426" s="67"/>
      <c r="CM426" s="67"/>
      <c r="CN426" s="67"/>
      <c r="CO426" s="67"/>
      <c r="CP426" s="67"/>
      <c r="CQ426" s="67"/>
      <c r="CR426" s="67"/>
      <c r="CS426" s="67"/>
      <c r="CT426" s="67"/>
      <c r="CU426" s="67"/>
      <c r="CV426" s="67"/>
      <c r="CW426" s="67"/>
      <c r="CX426" s="67"/>
      <c r="CY426" s="67"/>
      <c r="CZ426" s="67"/>
      <c r="DA426" s="67"/>
      <c r="DB426" s="67"/>
      <c r="DC426" s="67"/>
      <c r="DD426" s="67"/>
      <c r="DE426" s="67"/>
      <c r="DF426" s="67"/>
      <c r="DG426" s="67"/>
      <c r="DH426" s="67"/>
      <c r="DI426" s="67"/>
      <c r="DJ426" s="67"/>
      <c r="DK426" s="67"/>
      <c r="DL426" s="67"/>
      <c r="DM426" s="67"/>
      <c r="DN426" s="67"/>
      <c r="DO426" s="67"/>
      <c r="DP426" s="67"/>
      <c r="DQ426" s="67"/>
      <c r="DR426" s="67"/>
      <c r="DS426" s="67"/>
      <c r="DT426" s="67"/>
      <c r="DU426" s="67"/>
    </row>
    <row r="427" spans="1:125" x14ac:dyDescent="0.25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  <c r="AF427" s="67"/>
      <c r="AG427" s="67"/>
      <c r="AH427" s="67"/>
      <c r="AI427" s="67"/>
      <c r="AJ427" s="67"/>
      <c r="AK427" s="67"/>
      <c r="AL427" s="67"/>
      <c r="AM427" s="67"/>
      <c r="AN427" s="67"/>
      <c r="AO427" s="67"/>
      <c r="AP427" s="67"/>
      <c r="AQ427" s="67"/>
      <c r="AR427" s="67"/>
      <c r="AS427" s="67"/>
      <c r="AT427" s="67"/>
      <c r="AU427" s="67"/>
      <c r="AV427" s="67"/>
      <c r="AW427" s="67"/>
      <c r="AX427" s="67"/>
      <c r="AY427" s="67"/>
      <c r="AZ427" s="67"/>
      <c r="BA427" s="67"/>
      <c r="BB427" s="67"/>
      <c r="BC427" s="67"/>
      <c r="BD427" s="67"/>
      <c r="BE427" s="67"/>
      <c r="BF427" s="67"/>
      <c r="BG427" s="67"/>
      <c r="BH427" s="67"/>
      <c r="BI427" s="67"/>
      <c r="BJ427" s="67"/>
      <c r="BK427" s="67"/>
      <c r="BL427" s="67"/>
      <c r="BM427" s="67"/>
      <c r="BN427" s="67"/>
      <c r="BO427" s="67"/>
      <c r="BP427" s="67"/>
      <c r="BQ427" s="67"/>
      <c r="BR427" s="67"/>
      <c r="BS427" s="67"/>
      <c r="BT427" s="67"/>
      <c r="BU427" s="67"/>
      <c r="BV427" s="67"/>
      <c r="BW427" s="67"/>
      <c r="BX427" s="67"/>
      <c r="BY427" s="67"/>
      <c r="BZ427" s="67"/>
      <c r="CA427" s="67"/>
      <c r="CB427" s="67"/>
      <c r="CC427" s="67"/>
      <c r="CD427" s="67"/>
      <c r="CE427" s="67"/>
      <c r="CF427" s="67"/>
      <c r="CG427" s="67"/>
      <c r="CH427" s="67"/>
      <c r="CI427" s="67"/>
      <c r="CJ427" s="67"/>
      <c r="CK427" s="67"/>
      <c r="CL427" s="67"/>
      <c r="CM427" s="67"/>
      <c r="CN427" s="67"/>
      <c r="CO427" s="67"/>
      <c r="CP427" s="67"/>
      <c r="CQ427" s="67"/>
      <c r="CR427" s="67"/>
      <c r="CS427" s="67"/>
      <c r="CT427" s="67"/>
      <c r="CU427" s="67"/>
      <c r="CV427" s="67"/>
      <c r="CW427" s="67"/>
      <c r="CX427" s="67"/>
      <c r="CY427" s="67"/>
      <c r="CZ427" s="67"/>
      <c r="DA427" s="67"/>
      <c r="DB427" s="67"/>
      <c r="DC427" s="67"/>
      <c r="DD427" s="67"/>
      <c r="DE427" s="67"/>
      <c r="DF427" s="67"/>
      <c r="DG427" s="67"/>
      <c r="DH427" s="67"/>
      <c r="DI427" s="67"/>
      <c r="DJ427" s="67"/>
      <c r="DK427" s="67"/>
      <c r="DL427" s="67"/>
      <c r="DM427" s="67"/>
      <c r="DN427" s="67"/>
      <c r="DO427" s="67"/>
      <c r="DP427" s="67"/>
      <c r="DQ427" s="67"/>
      <c r="DR427" s="67"/>
      <c r="DS427" s="67"/>
      <c r="DT427" s="67"/>
      <c r="DU427" s="67"/>
    </row>
    <row r="428" spans="1:125" x14ac:dyDescent="0.25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  <c r="AF428" s="67"/>
      <c r="AG428" s="67"/>
      <c r="AH428" s="67"/>
      <c r="AI428" s="67"/>
      <c r="AJ428" s="67"/>
      <c r="AK428" s="67"/>
      <c r="AL428" s="67"/>
      <c r="AM428" s="67"/>
      <c r="AN428" s="67"/>
      <c r="AO428" s="67"/>
      <c r="AP428" s="67"/>
      <c r="AQ428" s="67"/>
      <c r="AR428" s="67"/>
      <c r="AS428" s="67"/>
      <c r="AT428" s="67"/>
      <c r="AU428" s="67"/>
      <c r="AV428" s="67"/>
      <c r="AW428" s="67"/>
      <c r="AX428" s="67"/>
      <c r="AY428" s="67"/>
      <c r="AZ428" s="67"/>
      <c r="BA428" s="67"/>
      <c r="BB428" s="67"/>
      <c r="BC428" s="67"/>
      <c r="BD428" s="67"/>
      <c r="BE428" s="67"/>
      <c r="BF428" s="67"/>
      <c r="BG428" s="67"/>
      <c r="BH428" s="67"/>
      <c r="BI428" s="67"/>
      <c r="BJ428" s="67"/>
      <c r="BK428" s="67"/>
      <c r="BL428" s="67"/>
      <c r="BM428" s="67"/>
      <c r="BN428" s="67"/>
      <c r="BO428" s="67"/>
      <c r="BP428" s="67"/>
      <c r="BQ428" s="67"/>
      <c r="BR428" s="67"/>
      <c r="BS428" s="67"/>
      <c r="BT428" s="67"/>
      <c r="BU428" s="67"/>
      <c r="BV428" s="67"/>
      <c r="BW428" s="67"/>
      <c r="BX428" s="67"/>
      <c r="BY428" s="67"/>
      <c r="BZ428" s="67"/>
      <c r="CA428" s="67"/>
      <c r="CB428" s="67"/>
      <c r="CC428" s="67"/>
      <c r="CD428" s="67"/>
      <c r="CE428" s="67"/>
      <c r="CF428" s="67"/>
      <c r="CG428" s="67"/>
      <c r="CH428" s="67"/>
      <c r="CI428" s="67"/>
      <c r="CJ428" s="67"/>
      <c r="CK428" s="67"/>
      <c r="CL428" s="67"/>
      <c r="CM428" s="67"/>
      <c r="CN428" s="67"/>
      <c r="CO428" s="67"/>
      <c r="CP428" s="67"/>
      <c r="CQ428" s="67"/>
      <c r="CR428" s="67"/>
      <c r="CS428" s="67"/>
      <c r="CT428" s="67"/>
      <c r="CU428" s="67"/>
      <c r="CV428" s="67"/>
      <c r="CW428" s="67"/>
      <c r="CX428" s="67"/>
      <c r="CY428" s="67"/>
      <c r="CZ428" s="67"/>
      <c r="DA428" s="67"/>
      <c r="DB428" s="67"/>
      <c r="DC428" s="67"/>
      <c r="DD428" s="67"/>
      <c r="DE428" s="67"/>
      <c r="DF428" s="67"/>
      <c r="DG428" s="67"/>
      <c r="DH428" s="67"/>
      <c r="DI428" s="67"/>
      <c r="DJ428" s="67"/>
      <c r="DK428" s="67"/>
      <c r="DL428" s="67"/>
      <c r="DM428" s="67"/>
      <c r="DN428" s="67"/>
      <c r="DO428" s="67"/>
      <c r="DP428" s="67"/>
      <c r="DQ428" s="67"/>
      <c r="DR428" s="67"/>
      <c r="DS428" s="67"/>
      <c r="DT428" s="67"/>
      <c r="DU428" s="67"/>
    </row>
    <row r="429" spans="1:125" x14ac:dyDescent="0.25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  <c r="AF429" s="67"/>
      <c r="AG429" s="67"/>
      <c r="AH429" s="67"/>
      <c r="AI429" s="67"/>
      <c r="AJ429" s="67"/>
      <c r="AK429" s="67"/>
      <c r="AL429" s="67"/>
      <c r="AM429" s="67"/>
      <c r="AN429" s="67"/>
      <c r="AO429" s="67"/>
      <c r="AP429" s="67"/>
      <c r="AQ429" s="67"/>
      <c r="AR429" s="67"/>
      <c r="AS429" s="67"/>
      <c r="AT429" s="67"/>
      <c r="AU429" s="67"/>
      <c r="AV429" s="67"/>
      <c r="AW429" s="67"/>
      <c r="AX429" s="67"/>
      <c r="AY429" s="67"/>
      <c r="AZ429" s="67"/>
      <c r="BA429" s="67"/>
      <c r="BB429" s="67"/>
      <c r="BC429" s="67"/>
      <c r="BD429" s="67"/>
      <c r="BE429" s="67"/>
      <c r="BF429" s="67"/>
      <c r="BG429" s="67"/>
      <c r="BH429" s="67"/>
      <c r="BI429" s="67"/>
      <c r="BJ429" s="67"/>
      <c r="BK429" s="67"/>
      <c r="BL429" s="67"/>
      <c r="BM429" s="67"/>
      <c r="BN429" s="67"/>
      <c r="BO429" s="67"/>
      <c r="BP429" s="67"/>
      <c r="BQ429" s="67"/>
      <c r="BR429" s="67"/>
      <c r="BS429" s="67"/>
      <c r="BT429" s="67"/>
      <c r="BU429" s="67"/>
      <c r="BV429" s="67"/>
      <c r="BW429" s="67"/>
      <c r="BX429" s="67"/>
      <c r="BY429" s="67"/>
      <c r="BZ429" s="67"/>
      <c r="CA429" s="67"/>
      <c r="CB429" s="67"/>
      <c r="CC429" s="67"/>
      <c r="CD429" s="67"/>
      <c r="CE429" s="67"/>
      <c r="CF429" s="67"/>
      <c r="CG429" s="67"/>
      <c r="CH429" s="67"/>
      <c r="CI429" s="67"/>
      <c r="CJ429" s="67"/>
      <c r="CK429" s="67"/>
      <c r="CL429" s="67"/>
      <c r="CM429" s="67"/>
      <c r="CN429" s="67"/>
      <c r="CO429" s="67"/>
      <c r="CP429" s="67"/>
      <c r="CQ429" s="67"/>
      <c r="CR429" s="67"/>
      <c r="CS429" s="67"/>
      <c r="CT429" s="67"/>
      <c r="CU429" s="67"/>
      <c r="CV429" s="67"/>
      <c r="CW429" s="67"/>
      <c r="CX429" s="67"/>
      <c r="CY429" s="67"/>
      <c r="CZ429" s="67"/>
      <c r="DA429" s="67"/>
      <c r="DB429" s="67"/>
      <c r="DC429" s="67"/>
      <c r="DD429" s="67"/>
      <c r="DE429" s="67"/>
      <c r="DF429" s="67"/>
      <c r="DG429" s="67"/>
      <c r="DH429" s="67"/>
      <c r="DI429" s="67"/>
      <c r="DJ429" s="67"/>
      <c r="DK429" s="67"/>
      <c r="DL429" s="67"/>
      <c r="DM429" s="67"/>
      <c r="DN429" s="67"/>
      <c r="DO429" s="67"/>
      <c r="DP429" s="67"/>
      <c r="DQ429" s="67"/>
      <c r="DR429" s="67"/>
      <c r="DS429" s="67"/>
      <c r="DT429" s="67"/>
      <c r="DU429" s="67"/>
    </row>
    <row r="430" spans="1:125" x14ac:dyDescent="0.25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  <c r="AF430" s="67"/>
      <c r="AG430" s="67"/>
      <c r="AH430" s="67"/>
      <c r="AI430" s="67"/>
      <c r="AJ430" s="67"/>
      <c r="AK430" s="67"/>
      <c r="AL430" s="67"/>
      <c r="AM430" s="67"/>
      <c r="AN430" s="67"/>
      <c r="AO430" s="67"/>
      <c r="AP430" s="67"/>
      <c r="AQ430" s="67"/>
      <c r="AR430" s="67"/>
      <c r="AS430" s="67"/>
      <c r="AT430" s="67"/>
      <c r="AU430" s="67"/>
      <c r="AV430" s="67"/>
      <c r="AW430" s="67"/>
      <c r="AX430" s="67"/>
      <c r="AY430" s="67"/>
      <c r="AZ430" s="67"/>
      <c r="BA430" s="67"/>
      <c r="BB430" s="67"/>
      <c r="BC430" s="67"/>
      <c r="BD430" s="67"/>
      <c r="BE430" s="67"/>
      <c r="BF430" s="67"/>
      <c r="BG430" s="67"/>
      <c r="BH430" s="67"/>
      <c r="BI430" s="67"/>
      <c r="BJ430" s="67"/>
      <c r="BK430" s="67"/>
      <c r="BL430" s="67"/>
      <c r="BM430" s="67"/>
      <c r="BN430" s="67"/>
      <c r="BO430" s="67"/>
      <c r="BP430" s="67"/>
      <c r="BQ430" s="67"/>
      <c r="BR430" s="67"/>
      <c r="BS430" s="67"/>
      <c r="BT430" s="67"/>
      <c r="BU430" s="67"/>
      <c r="BV430" s="67"/>
      <c r="BW430" s="67"/>
      <c r="BX430" s="67"/>
      <c r="BY430" s="67"/>
      <c r="BZ430" s="67"/>
      <c r="CA430" s="67"/>
      <c r="CB430" s="67"/>
      <c r="CC430" s="67"/>
      <c r="CD430" s="67"/>
      <c r="CE430" s="67"/>
      <c r="CF430" s="67"/>
      <c r="CG430" s="67"/>
      <c r="CH430" s="67"/>
      <c r="CI430" s="67"/>
      <c r="CJ430" s="67"/>
      <c r="CK430" s="67"/>
      <c r="CL430" s="67"/>
      <c r="CM430" s="67"/>
      <c r="CN430" s="67"/>
      <c r="CO430" s="67"/>
      <c r="CP430" s="67"/>
      <c r="CQ430" s="67"/>
      <c r="CR430" s="67"/>
      <c r="CS430" s="67"/>
      <c r="CT430" s="67"/>
      <c r="CU430" s="67"/>
      <c r="CV430" s="67"/>
      <c r="CW430" s="67"/>
      <c r="CX430" s="67"/>
      <c r="CY430" s="67"/>
      <c r="CZ430" s="67"/>
      <c r="DA430" s="67"/>
      <c r="DB430" s="67"/>
      <c r="DC430" s="67"/>
      <c r="DD430" s="67"/>
      <c r="DE430" s="67"/>
      <c r="DF430" s="67"/>
      <c r="DG430" s="67"/>
      <c r="DH430" s="67"/>
      <c r="DI430" s="67"/>
      <c r="DJ430" s="67"/>
      <c r="DK430" s="67"/>
      <c r="DL430" s="67"/>
      <c r="DM430" s="67"/>
      <c r="DN430" s="67"/>
      <c r="DO430" s="67"/>
      <c r="DP430" s="67"/>
      <c r="DQ430" s="67"/>
      <c r="DR430" s="67"/>
      <c r="DS430" s="67"/>
      <c r="DT430" s="67"/>
      <c r="DU430" s="67"/>
    </row>
    <row r="431" spans="1:125" x14ac:dyDescent="0.25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  <c r="AF431" s="67"/>
      <c r="AG431" s="67"/>
      <c r="AH431" s="67"/>
      <c r="AI431" s="67"/>
      <c r="AJ431" s="67"/>
      <c r="AK431" s="67"/>
      <c r="AL431" s="67"/>
      <c r="AM431" s="67"/>
      <c r="AN431" s="67"/>
      <c r="AO431" s="67"/>
      <c r="AP431" s="67"/>
      <c r="AQ431" s="67"/>
      <c r="AR431" s="67"/>
      <c r="AS431" s="67"/>
      <c r="AT431" s="67"/>
      <c r="AU431" s="67"/>
      <c r="AV431" s="67"/>
      <c r="AW431" s="67"/>
      <c r="AX431" s="67"/>
      <c r="AY431" s="67"/>
      <c r="AZ431" s="67"/>
      <c r="BA431" s="67"/>
      <c r="BB431" s="67"/>
      <c r="BC431" s="67"/>
      <c r="BD431" s="67"/>
      <c r="BE431" s="67"/>
      <c r="BF431" s="67"/>
      <c r="BG431" s="67"/>
      <c r="BH431" s="67"/>
      <c r="BI431" s="67"/>
      <c r="BJ431" s="67"/>
      <c r="BK431" s="67"/>
      <c r="BL431" s="67"/>
      <c r="BM431" s="67"/>
      <c r="BN431" s="67"/>
      <c r="BO431" s="67"/>
      <c r="BP431" s="67"/>
      <c r="BQ431" s="67"/>
      <c r="BR431" s="67"/>
      <c r="BS431" s="67"/>
      <c r="BT431" s="67"/>
      <c r="BU431" s="67"/>
      <c r="BV431" s="67"/>
      <c r="BW431" s="67"/>
      <c r="BX431" s="67"/>
      <c r="BY431" s="67"/>
      <c r="BZ431" s="67"/>
      <c r="CA431" s="67"/>
      <c r="CB431" s="67"/>
      <c r="CC431" s="67"/>
      <c r="CD431" s="67"/>
      <c r="CE431" s="67"/>
      <c r="CF431" s="67"/>
      <c r="CG431" s="67"/>
      <c r="CH431" s="67"/>
      <c r="CI431" s="67"/>
      <c r="CJ431" s="67"/>
      <c r="CK431" s="67"/>
      <c r="CL431" s="67"/>
      <c r="CM431" s="67"/>
      <c r="CN431" s="67"/>
      <c r="CO431" s="67"/>
      <c r="CP431" s="67"/>
      <c r="CQ431" s="67"/>
      <c r="CR431" s="67"/>
      <c r="CS431" s="67"/>
      <c r="CT431" s="67"/>
      <c r="CU431" s="67"/>
      <c r="CV431" s="67"/>
      <c r="CW431" s="67"/>
      <c r="CX431" s="67"/>
      <c r="CY431" s="67"/>
      <c r="CZ431" s="67"/>
      <c r="DA431" s="67"/>
      <c r="DB431" s="67"/>
      <c r="DC431" s="67"/>
      <c r="DD431" s="67"/>
      <c r="DE431" s="67"/>
      <c r="DF431" s="67"/>
      <c r="DG431" s="67"/>
      <c r="DH431" s="67"/>
      <c r="DI431" s="67"/>
      <c r="DJ431" s="67"/>
      <c r="DK431" s="67"/>
      <c r="DL431" s="67"/>
      <c r="DM431" s="67"/>
      <c r="DN431" s="67"/>
      <c r="DO431" s="67"/>
      <c r="DP431" s="67"/>
      <c r="DQ431" s="67"/>
      <c r="DR431" s="67"/>
      <c r="DS431" s="67"/>
      <c r="DT431" s="67"/>
      <c r="DU431" s="67"/>
    </row>
    <row r="432" spans="1:125" x14ac:dyDescent="0.25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  <c r="AA432" s="67"/>
      <c r="AB432" s="67"/>
      <c r="AC432" s="67"/>
      <c r="AD432" s="67"/>
      <c r="AE432" s="67"/>
      <c r="AF432" s="67"/>
      <c r="AG432" s="67"/>
      <c r="AH432" s="67"/>
      <c r="AI432" s="67"/>
      <c r="AJ432" s="67"/>
      <c r="AK432" s="67"/>
      <c r="AL432" s="67"/>
      <c r="AM432" s="67"/>
      <c r="AN432" s="67"/>
      <c r="AO432" s="67"/>
      <c r="AP432" s="67"/>
      <c r="AQ432" s="67"/>
      <c r="AR432" s="67"/>
      <c r="AS432" s="67"/>
      <c r="AT432" s="67"/>
      <c r="AU432" s="67"/>
      <c r="AV432" s="67"/>
      <c r="AW432" s="67"/>
      <c r="AX432" s="67"/>
      <c r="AY432" s="67"/>
      <c r="AZ432" s="67"/>
      <c r="BA432" s="67"/>
      <c r="BB432" s="67"/>
      <c r="BC432" s="67"/>
      <c r="BD432" s="67"/>
      <c r="BE432" s="67"/>
      <c r="BF432" s="67"/>
      <c r="BG432" s="67"/>
      <c r="BH432" s="67"/>
      <c r="BI432" s="67"/>
      <c r="BJ432" s="67"/>
      <c r="BK432" s="67"/>
      <c r="BL432" s="67"/>
      <c r="BM432" s="67"/>
      <c r="BN432" s="67"/>
      <c r="BO432" s="67"/>
      <c r="BP432" s="67"/>
      <c r="BQ432" s="67"/>
      <c r="BR432" s="67"/>
      <c r="BS432" s="67"/>
      <c r="BT432" s="67"/>
      <c r="BU432" s="67"/>
      <c r="BV432" s="67"/>
      <c r="BW432" s="67"/>
      <c r="BX432" s="67"/>
      <c r="BY432" s="67"/>
      <c r="BZ432" s="67"/>
      <c r="CA432" s="67"/>
      <c r="CB432" s="67"/>
      <c r="CC432" s="67"/>
      <c r="CD432" s="67"/>
      <c r="CE432" s="67"/>
      <c r="CF432" s="67"/>
      <c r="CG432" s="67"/>
      <c r="CH432" s="67"/>
      <c r="CI432" s="67"/>
      <c r="CJ432" s="67"/>
      <c r="CK432" s="67"/>
      <c r="CL432" s="67"/>
      <c r="CM432" s="67"/>
      <c r="CN432" s="67"/>
      <c r="CO432" s="67"/>
      <c r="CP432" s="67"/>
      <c r="CQ432" s="67"/>
      <c r="CR432" s="67"/>
      <c r="CS432" s="67"/>
      <c r="CT432" s="67"/>
      <c r="CU432" s="67"/>
      <c r="CV432" s="67"/>
      <c r="CW432" s="67"/>
      <c r="CX432" s="67"/>
      <c r="CY432" s="67"/>
      <c r="CZ432" s="67"/>
      <c r="DA432" s="67"/>
      <c r="DB432" s="67"/>
      <c r="DC432" s="67"/>
      <c r="DD432" s="67"/>
      <c r="DE432" s="67"/>
      <c r="DF432" s="67"/>
      <c r="DG432" s="67"/>
      <c r="DH432" s="67"/>
      <c r="DI432" s="67"/>
      <c r="DJ432" s="67"/>
      <c r="DK432" s="67"/>
      <c r="DL432" s="67"/>
      <c r="DM432" s="67"/>
      <c r="DN432" s="67"/>
      <c r="DO432" s="67"/>
      <c r="DP432" s="67"/>
      <c r="DQ432" s="67"/>
      <c r="DR432" s="67"/>
      <c r="DS432" s="67"/>
      <c r="DT432" s="67"/>
      <c r="DU432" s="67"/>
    </row>
    <row r="433" spans="1:125" x14ac:dyDescent="0.25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  <c r="AA433" s="67"/>
      <c r="AB433" s="67"/>
      <c r="AC433" s="67"/>
      <c r="AD433" s="67"/>
      <c r="AE433" s="67"/>
      <c r="AF433" s="67"/>
      <c r="AG433" s="67"/>
      <c r="AH433" s="67"/>
      <c r="AI433" s="67"/>
      <c r="AJ433" s="67"/>
      <c r="AK433" s="67"/>
      <c r="AL433" s="67"/>
      <c r="AM433" s="67"/>
      <c r="AN433" s="67"/>
      <c r="AO433" s="67"/>
      <c r="AP433" s="67"/>
      <c r="AQ433" s="67"/>
      <c r="AR433" s="67"/>
      <c r="AS433" s="67"/>
      <c r="AT433" s="67"/>
      <c r="AU433" s="67"/>
      <c r="AV433" s="67"/>
      <c r="AW433" s="67"/>
      <c r="AX433" s="67"/>
      <c r="AY433" s="67"/>
      <c r="AZ433" s="67"/>
      <c r="BA433" s="67"/>
      <c r="BB433" s="67"/>
      <c r="BC433" s="67"/>
      <c r="BD433" s="67"/>
      <c r="BE433" s="67"/>
      <c r="BF433" s="67"/>
      <c r="BG433" s="67"/>
      <c r="BH433" s="67"/>
      <c r="BI433" s="67"/>
      <c r="BJ433" s="67"/>
      <c r="BK433" s="67"/>
      <c r="BL433" s="67"/>
      <c r="BM433" s="67"/>
      <c r="BN433" s="67"/>
      <c r="BO433" s="67"/>
      <c r="BP433" s="67"/>
      <c r="BQ433" s="67"/>
      <c r="BR433" s="67"/>
      <c r="BS433" s="67"/>
      <c r="BT433" s="67"/>
      <c r="BU433" s="67"/>
      <c r="BV433" s="67"/>
      <c r="BW433" s="67"/>
      <c r="BX433" s="67"/>
      <c r="BY433" s="67"/>
      <c r="BZ433" s="67"/>
      <c r="CA433" s="67"/>
      <c r="CB433" s="67"/>
      <c r="CC433" s="67"/>
      <c r="CD433" s="67"/>
      <c r="CE433" s="67"/>
      <c r="CF433" s="67"/>
      <c r="CG433" s="67"/>
      <c r="CH433" s="67"/>
      <c r="CI433" s="67"/>
      <c r="CJ433" s="67"/>
      <c r="CK433" s="67"/>
      <c r="CL433" s="67"/>
      <c r="CM433" s="67"/>
      <c r="CN433" s="67"/>
      <c r="CO433" s="67"/>
      <c r="CP433" s="67"/>
      <c r="CQ433" s="67"/>
      <c r="CR433" s="67"/>
      <c r="CS433" s="67"/>
      <c r="CT433" s="67"/>
      <c r="CU433" s="67"/>
      <c r="CV433" s="67"/>
      <c r="CW433" s="67"/>
      <c r="CX433" s="67"/>
      <c r="CY433" s="67"/>
      <c r="CZ433" s="67"/>
      <c r="DA433" s="67"/>
      <c r="DB433" s="67"/>
      <c r="DC433" s="67"/>
      <c r="DD433" s="67"/>
      <c r="DE433" s="67"/>
      <c r="DF433" s="67"/>
      <c r="DG433" s="67"/>
      <c r="DH433" s="67"/>
      <c r="DI433" s="67"/>
      <c r="DJ433" s="67"/>
      <c r="DK433" s="67"/>
      <c r="DL433" s="67"/>
      <c r="DM433" s="67"/>
      <c r="DN433" s="67"/>
      <c r="DO433" s="67"/>
      <c r="DP433" s="67"/>
      <c r="DQ433" s="67"/>
      <c r="DR433" s="67"/>
      <c r="DS433" s="67"/>
      <c r="DT433" s="67"/>
      <c r="DU433" s="67"/>
    </row>
    <row r="434" spans="1:125" x14ac:dyDescent="0.25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  <c r="AA434" s="67"/>
      <c r="AB434" s="67"/>
      <c r="AC434" s="67"/>
      <c r="AD434" s="67"/>
      <c r="AE434" s="67"/>
      <c r="AF434" s="67"/>
      <c r="AG434" s="67"/>
      <c r="AH434" s="67"/>
      <c r="AI434" s="67"/>
      <c r="AJ434" s="67"/>
      <c r="AK434" s="67"/>
      <c r="AL434" s="67"/>
      <c r="AM434" s="67"/>
      <c r="AN434" s="67"/>
      <c r="AO434" s="67"/>
      <c r="AP434" s="67"/>
      <c r="AQ434" s="67"/>
      <c r="AR434" s="67"/>
      <c r="AS434" s="67"/>
      <c r="AT434" s="67"/>
      <c r="AU434" s="67"/>
      <c r="AV434" s="67"/>
      <c r="AW434" s="67"/>
      <c r="AX434" s="67"/>
      <c r="AY434" s="67"/>
      <c r="AZ434" s="67"/>
      <c r="BA434" s="67"/>
      <c r="BB434" s="67"/>
      <c r="BC434" s="67"/>
      <c r="BD434" s="67"/>
      <c r="BE434" s="67"/>
      <c r="BF434" s="67"/>
      <c r="BG434" s="67"/>
      <c r="BH434" s="67"/>
      <c r="BI434" s="67"/>
      <c r="BJ434" s="67"/>
      <c r="BK434" s="67"/>
      <c r="BL434" s="67"/>
      <c r="BM434" s="67"/>
      <c r="BN434" s="67"/>
      <c r="BO434" s="67"/>
      <c r="BP434" s="67"/>
      <c r="BQ434" s="67"/>
      <c r="BR434" s="67"/>
      <c r="BS434" s="67"/>
      <c r="BT434" s="67"/>
      <c r="BU434" s="67"/>
      <c r="BV434" s="67"/>
      <c r="BW434" s="67"/>
      <c r="BX434" s="67"/>
      <c r="BY434" s="67"/>
      <c r="BZ434" s="67"/>
      <c r="CA434" s="67"/>
      <c r="CB434" s="67"/>
      <c r="CC434" s="67"/>
      <c r="CD434" s="67"/>
      <c r="CE434" s="67"/>
      <c r="CF434" s="67"/>
      <c r="CG434" s="67"/>
      <c r="CH434" s="67"/>
      <c r="CI434" s="67"/>
      <c r="CJ434" s="67"/>
      <c r="CK434" s="67"/>
      <c r="CL434" s="67"/>
      <c r="CM434" s="67"/>
      <c r="CN434" s="67"/>
      <c r="CO434" s="67"/>
      <c r="CP434" s="67"/>
      <c r="CQ434" s="67"/>
      <c r="CR434" s="67"/>
      <c r="CS434" s="67"/>
      <c r="CT434" s="67"/>
      <c r="CU434" s="67"/>
      <c r="CV434" s="67"/>
      <c r="CW434" s="67"/>
      <c r="CX434" s="67"/>
      <c r="CY434" s="67"/>
      <c r="CZ434" s="67"/>
      <c r="DA434" s="67"/>
      <c r="DB434" s="67"/>
      <c r="DC434" s="67"/>
      <c r="DD434" s="67"/>
      <c r="DE434" s="67"/>
      <c r="DF434" s="67"/>
      <c r="DG434" s="67"/>
      <c r="DH434" s="67"/>
      <c r="DI434" s="67"/>
      <c r="DJ434" s="67"/>
      <c r="DK434" s="67"/>
      <c r="DL434" s="67"/>
      <c r="DM434" s="67"/>
      <c r="DN434" s="67"/>
      <c r="DO434" s="67"/>
      <c r="DP434" s="67"/>
      <c r="DQ434" s="67"/>
      <c r="DR434" s="67"/>
      <c r="DS434" s="67"/>
      <c r="DT434" s="67"/>
      <c r="DU434" s="67"/>
    </row>
    <row r="435" spans="1:125" x14ac:dyDescent="0.25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  <c r="AA435" s="67"/>
      <c r="AB435" s="67"/>
      <c r="AC435" s="67"/>
      <c r="AD435" s="67"/>
      <c r="AE435" s="67"/>
      <c r="AF435" s="67"/>
      <c r="AG435" s="67"/>
      <c r="AH435" s="67"/>
      <c r="AI435" s="67"/>
      <c r="AJ435" s="67"/>
      <c r="AK435" s="67"/>
      <c r="AL435" s="67"/>
      <c r="AM435" s="67"/>
      <c r="AN435" s="67"/>
      <c r="AO435" s="67"/>
      <c r="AP435" s="67"/>
      <c r="AQ435" s="67"/>
      <c r="AR435" s="67"/>
      <c r="AS435" s="67"/>
      <c r="AT435" s="67"/>
      <c r="AU435" s="67"/>
      <c r="AV435" s="67"/>
      <c r="AW435" s="67"/>
      <c r="AX435" s="67"/>
      <c r="AY435" s="67"/>
      <c r="AZ435" s="67"/>
      <c r="BA435" s="67"/>
      <c r="BB435" s="67"/>
      <c r="BC435" s="67"/>
      <c r="BD435" s="67"/>
      <c r="BE435" s="67"/>
      <c r="BF435" s="67"/>
      <c r="BG435" s="67"/>
      <c r="BH435" s="67"/>
      <c r="BI435" s="67"/>
      <c r="BJ435" s="67"/>
      <c r="BK435" s="67"/>
      <c r="BL435" s="67"/>
      <c r="BM435" s="67"/>
      <c r="BN435" s="67"/>
      <c r="BO435" s="67"/>
      <c r="BP435" s="67"/>
      <c r="BQ435" s="67"/>
      <c r="BR435" s="67"/>
      <c r="BS435" s="67"/>
      <c r="BT435" s="67"/>
      <c r="BU435" s="67"/>
      <c r="BV435" s="67"/>
      <c r="BW435" s="67"/>
      <c r="BX435" s="67"/>
      <c r="BY435" s="67"/>
      <c r="BZ435" s="67"/>
      <c r="CA435" s="67"/>
      <c r="CB435" s="67"/>
      <c r="CC435" s="67"/>
      <c r="CD435" s="67"/>
      <c r="CE435" s="67"/>
      <c r="CF435" s="67"/>
      <c r="CG435" s="67"/>
      <c r="CH435" s="67"/>
      <c r="CI435" s="67"/>
      <c r="CJ435" s="67"/>
      <c r="CK435" s="67"/>
      <c r="CL435" s="67"/>
      <c r="CM435" s="67"/>
      <c r="CN435" s="67"/>
      <c r="CO435" s="67"/>
      <c r="CP435" s="67"/>
      <c r="CQ435" s="67"/>
      <c r="CR435" s="67"/>
      <c r="CS435" s="67"/>
      <c r="CT435" s="67"/>
      <c r="CU435" s="67"/>
      <c r="CV435" s="67"/>
      <c r="CW435" s="67"/>
      <c r="CX435" s="67"/>
      <c r="CY435" s="67"/>
      <c r="CZ435" s="67"/>
      <c r="DA435" s="67"/>
      <c r="DB435" s="67"/>
      <c r="DC435" s="67"/>
      <c r="DD435" s="67"/>
      <c r="DE435" s="67"/>
      <c r="DF435" s="67"/>
      <c r="DG435" s="67"/>
      <c r="DH435" s="67"/>
      <c r="DI435" s="67"/>
      <c r="DJ435" s="67"/>
      <c r="DK435" s="67"/>
      <c r="DL435" s="67"/>
      <c r="DM435" s="67"/>
      <c r="DN435" s="67"/>
      <c r="DO435" s="67"/>
      <c r="DP435" s="67"/>
      <c r="DQ435" s="67"/>
      <c r="DR435" s="67"/>
      <c r="DS435" s="67"/>
      <c r="DT435" s="67"/>
      <c r="DU435" s="67"/>
    </row>
    <row r="436" spans="1:125" x14ac:dyDescent="0.25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  <c r="AA436" s="67"/>
      <c r="AB436" s="67"/>
      <c r="AC436" s="67"/>
      <c r="AD436" s="67"/>
      <c r="AE436" s="67"/>
      <c r="AF436" s="67"/>
      <c r="AG436" s="67"/>
      <c r="AH436" s="67"/>
      <c r="AI436" s="67"/>
      <c r="AJ436" s="67"/>
      <c r="AK436" s="67"/>
      <c r="AL436" s="67"/>
      <c r="AM436" s="67"/>
      <c r="AN436" s="67"/>
      <c r="AO436" s="67"/>
      <c r="AP436" s="67"/>
      <c r="AQ436" s="67"/>
      <c r="AR436" s="67"/>
      <c r="AS436" s="67"/>
      <c r="AT436" s="67"/>
      <c r="AU436" s="67"/>
      <c r="AV436" s="67"/>
      <c r="AW436" s="67"/>
      <c r="AX436" s="67"/>
      <c r="AY436" s="67"/>
      <c r="AZ436" s="67"/>
      <c r="BA436" s="67"/>
      <c r="BB436" s="67"/>
      <c r="BC436" s="67"/>
      <c r="BD436" s="67"/>
      <c r="BE436" s="67"/>
      <c r="BF436" s="67"/>
      <c r="BG436" s="67"/>
      <c r="BH436" s="67"/>
      <c r="BI436" s="67"/>
      <c r="BJ436" s="67"/>
      <c r="BK436" s="67"/>
      <c r="BL436" s="67"/>
      <c r="BM436" s="67"/>
      <c r="BN436" s="67"/>
      <c r="BO436" s="67"/>
      <c r="BP436" s="67"/>
      <c r="BQ436" s="67"/>
      <c r="BR436" s="67"/>
      <c r="BS436" s="67"/>
      <c r="BT436" s="67"/>
      <c r="BU436" s="67"/>
      <c r="BV436" s="67"/>
      <c r="BW436" s="67"/>
      <c r="BX436" s="67"/>
      <c r="BY436" s="67"/>
      <c r="BZ436" s="67"/>
      <c r="CA436" s="67"/>
      <c r="CB436" s="67"/>
      <c r="CC436" s="67"/>
      <c r="CD436" s="67"/>
      <c r="CE436" s="67"/>
      <c r="CF436" s="67"/>
      <c r="CG436" s="67"/>
      <c r="CH436" s="67"/>
      <c r="CI436" s="67"/>
      <c r="CJ436" s="67"/>
      <c r="CK436" s="67"/>
      <c r="CL436" s="67"/>
      <c r="CM436" s="67"/>
      <c r="CN436" s="67"/>
      <c r="CO436" s="67"/>
      <c r="CP436" s="67"/>
      <c r="CQ436" s="67"/>
      <c r="CR436" s="67"/>
      <c r="CS436" s="67"/>
      <c r="CT436" s="67"/>
      <c r="CU436" s="67"/>
      <c r="CV436" s="67"/>
      <c r="CW436" s="67"/>
      <c r="CX436" s="67"/>
      <c r="CY436" s="67"/>
      <c r="CZ436" s="67"/>
      <c r="DA436" s="67"/>
      <c r="DB436" s="67"/>
      <c r="DC436" s="67"/>
      <c r="DD436" s="67"/>
      <c r="DE436" s="67"/>
      <c r="DF436" s="67"/>
      <c r="DG436" s="67"/>
      <c r="DH436" s="67"/>
      <c r="DI436" s="67"/>
      <c r="DJ436" s="67"/>
      <c r="DK436" s="67"/>
      <c r="DL436" s="67"/>
      <c r="DM436" s="67"/>
      <c r="DN436" s="67"/>
      <c r="DO436" s="67"/>
      <c r="DP436" s="67"/>
      <c r="DQ436" s="67"/>
      <c r="DR436" s="67"/>
      <c r="DS436" s="67"/>
      <c r="DT436" s="67"/>
      <c r="DU436" s="67"/>
    </row>
    <row r="437" spans="1:125" x14ac:dyDescent="0.25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  <c r="AA437" s="67"/>
      <c r="AB437" s="67"/>
      <c r="AC437" s="67"/>
      <c r="AD437" s="67"/>
      <c r="AE437" s="67"/>
      <c r="AF437" s="67"/>
      <c r="AG437" s="67"/>
      <c r="AH437" s="67"/>
      <c r="AI437" s="67"/>
      <c r="AJ437" s="67"/>
      <c r="AK437" s="67"/>
      <c r="AL437" s="67"/>
      <c r="AM437" s="67"/>
      <c r="AN437" s="67"/>
      <c r="AO437" s="67"/>
      <c r="AP437" s="67"/>
      <c r="AQ437" s="67"/>
      <c r="AR437" s="67"/>
      <c r="AS437" s="67"/>
      <c r="AT437" s="67"/>
      <c r="AU437" s="67"/>
      <c r="AV437" s="67"/>
      <c r="AW437" s="67"/>
      <c r="AX437" s="67"/>
      <c r="AY437" s="67"/>
      <c r="AZ437" s="67"/>
      <c r="BA437" s="67"/>
      <c r="BB437" s="67"/>
      <c r="BC437" s="67"/>
      <c r="BD437" s="67"/>
      <c r="BE437" s="67"/>
      <c r="BF437" s="67"/>
      <c r="BG437" s="67"/>
      <c r="BH437" s="67"/>
      <c r="BI437" s="67"/>
      <c r="BJ437" s="67"/>
      <c r="BK437" s="67"/>
      <c r="BL437" s="67"/>
      <c r="BM437" s="67"/>
      <c r="BN437" s="67"/>
      <c r="BO437" s="67"/>
      <c r="BP437" s="67"/>
      <c r="BQ437" s="67"/>
      <c r="BR437" s="67"/>
      <c r="BS437" s="67"/>
      <c r="BT437" s="67"/>
      <c r="BU437" s="67"/>
      <c r="BV437" s="67"/>
      <c r="BW437" s="67"/>
      <c r="BX437" s="67"/>
      <c r="BY437" s="67"/>
      <c r="BZ437" s="67"/>
      <c r="CA437" s="67"/>
      <c r="CB437" s="67"/>
      <c r="CC437" s="67"/>
      <c r="CD437" s="67"/>
      <c r="CE437" s="67"/>
      <c r="CF437" s="67"/>
      <c r="CG437" s="67"/>
      <c r="CH437" s="67"/>
      <c r="CI437" s="67"/>
      <c r="CJ437" s="67"/>
      <c r="CK437" s="67"/>
      <c r="CL437" s="67"/>
      <c r="CM437" s="67"/>
      <c r="CN437" s="67"/>
      <c r="CO437" s="67"/>
      <c r="CP437" s="67"/>
      <c r="CQ437" s="67"/>
      <c r="CR437" s="67"/>
      <c r="CS437" s="67"/>
      <c r="CT437" s="67"/>
      <c r="CU437" s="67"/>
      <c r="CV437" s="67"/>
      <c r="CW437" s="67"/>
      <c r="CX437" s="67"/>
      <c r="CY437" s="67"/>
      <c r="CZ437" s="67"/>
      <c r="DA437" s="67"/>
      <c r="DB437" s="67"/>
      <c r="DC437" s="67"/>
      <c r="DD437" s="67"/>
      <c r="DE437" s="67"/>
      <c r="DF437" s="67"/>
      <c r="DG437" s="67"/>
      <c r="DH437" s="67"/>
      <c r="DI437" s="67"/>
      <c r="DJ437" s="67"/>
      <c r="DK437" s="67"/>
      <c r="DL437" s="67"/>
      <c r="DM437" s="67"/>
      <c r="DN437" s="67"/>
      <c r="DO437" s="67"/>
      <c r="DP437" s="67"/>
      <c r="DQ437" s="67"/>
      <c r="DR437" s="67"/>
      <c r="DS437" s="67"/>
      <c r="DT437" s="67"/>
      <c r="DU437" s="67"/>
    </row>
    <row r="438" spans="1:125" x14ac:dyDescent="0.25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  <c r="AA438" s="67"/>
      <c r="AB438" s="67"/>
      <c r="AC438" s="67"/>
      <c r="AD438" s="67"/>
      <c r="AE438" s="67"/>
      <c r="AF438" s="67"/>
      <c r="AG438" s="67"/>
      <c r="AH438" s="67"/>
      <c r="AI438" s="67"/>
      <c r="AJ438" s="67"/>
      <c r="AK438" s="67"/>
      <c r="AL438" s="67"/>
      <c r="AM438" s="67"/>
      <c r="AN438" s="67"/>
      <c r="AO438" s="67"/>
      <c r="AP438" s="67"/>
      <c r="AQ438" s="67"/>
      <c r="AR438" s="67"/>
      <c r="AS438" s="67"/>
      <c r="AT438" s="67"/>
      <c r="AU438" s="67"/>
      <c r="AV438" s="67"/>
      <c r="AW438" s="67"/>
      <c r="AX438" s="67"/>
      <c r="AY438" s="67"/>
      <c r="AZ438" s="67"/>
      <c r="BA438" s="67"/>
      <c r="BB438" s="67"/>
      <c r="BC438" s="67"/>
      <c r="BD438" s="67"/>
      <c r="BE438" s="67"/>
      <c r="BF438" s="67"/>
      <c r="BG438" s="67"/>
      <c r="BH438" s="67"/>
      <c r="BI438" s="67"/>
      <c r="BJ438" s="67"/>
      <c r="BK438" s="67"/>
      <c r="BL438" s="67"/>
      <c r="BM438" s="67"/>
      <c r="BN438" s="67"/>
      <c r="BO438" s="67"/>
      <c r="BP438" s="67"/>
      <c r="BQ438" s="67"/>
      <c r="BR438" s="67"/>
      <c r="BS438" s="67"/>
      <c r="BT438" s="67"/>
      <c r="BU438" s="67"/>
      <c r="BV438" s="67"/>
      <c r="BW438" s="67"/>
      <c r="BX438" s="67"/>
      <c r="BY438" s="67"/>
      <c r="BZ438" s="67"/>
      <c r="CA438" s="67"/>
      <c r="CB438" s="67"/>
      <c r="CC438" s="67"/>
      <c r="CD438" s="67"/>
      <c r="CE438" s="67"/>
      <c r="CF438" s="67"/>
      <c r="CG438" s="67"/>
      <c r="CH438" s="67"/>
      <c r="CI438" s="67"/>
      <c r="CJ438" s="67"/>
      <c r="CK438" s="67"/>
      <c r="CL438" s="67"/>
      <c r="CM438" s="67"/>
      <c r="CN438" s="67"/>
      <c r="CO438" s="67"/>
      <c r="CP438" s="67"/>
      <c r="CQ438" s="67"/>
      <c r="CR438" s="67"/>
      <c r="CS438" s="67"/>
      <c r="CT438" s="67"/>
      <c r="CU438" s="67"/>
      <c r="CV438" s="67"/>
      <c r="CW438" s="67"/>
      <c r="CX438" s="67"/>
      <c r="CY438" s="67"/>
      <c r="CZ438" s="67"/>
      <c r="DA438" s="67"/>
      <c r="DB438" s="67"/>
      <c r="DC438" s="67"/>
      <c r="DD438" s="67"/>
      <c r="DE438" s="67"/>
      <c r="DF438" s="67"/>
      <c r="DG438" s="67"/>
      <c r="DH438" s="67"/>
      <c r="DI438" s="67"/>
      <c r="DJ438" s="67"/>
      <c r="DK438" s="67"/>
      <c r="DL438" s="67"/>
      <c r="DM438" s="67"/>
      <c r="DN438" s="67"/>
      <c r="DO438" s="67"/>
      <c r="DP438" s="67"/>
      <c r="DQ438" s="67"/>
      <c r="DR438" s="67"/>
      <c r="DS438" s="67"/>
      <c r="DT438" s="67"/>
      <c r="DU438" s="67"/>
    </row>
    <row r="439" spans="1:125" x14ac:dyDescent="0.25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  <c r="AA439" s="67"/>
      <c r="AB439" s="67"/>
      <c r="AC439" s="67"/>
      <c r="AD439" s="67"/>
      <c r="AE439" s="67"/>
      <c r="AF439" s="67"/>
      <c r="AG439" s="67"/>
      <c r="AH439" s="67"/>
      <c r="AI439" s="67"/>
      <c r="AJ439" s="67"/>
      <c r="AK439" s="67"/>
      <c r="AL439" s="67"/>
      <c r="AM439" s="67"/>
      <c r="AN439" s="67"/>
      <c r="AO439" s="67"/>
      <c r="AP439" s="67"/>
      <c r="AQ439" s="67"/>
      <c r="AR439" s="67"/>
      <c r="AS439" s="67"/>
      <c r="AT439" s="67"/>
      <c r="AU439" s="67"/>
      <c r="AV439" s="67"/>
      <c r="AW439" s="67"/>
      <c r="AX439" s="67"/>
      <c r="AY439" s="67"/>
      <c r="AZ439" s="67"/>
      <c r="BA439" s="67"/>
      <c r="BB439" s="67"/>
      <c r="BC439" s="67"/>
      <c r="BD439" s="67"/>
      <c r="BE439" s="67"/>
      <c r="BF439" s="67"/>
      <c r="BG439" s="67"/>
      <c r="BH439" s="67"/>
      <c r="BI439" s="67"/>
      <c r="BJ439" s="67"/>
      <c r="BK439" s="67"/>
      <c r="BL439" s="67"/>
      <c r="BM439" s="67"/>
      <c r="BN439" s="67"/>
      <c r="BO439" s="67"/>
      <c r="BP439" s="67"/>
      <c r="BQ439" s="67"/>
      <c r="BR439" s="67"/>
      <c r="BS439" s="67"/>
      <c r="BT439" s="67"/>
      <c r="BU439" s="67"/>
      <c r="BV439" s="67"/>
      <c r="BW439" s="67"/>
      <c r="BX439" s="67"/>
      <c r="BY439" s="67"/>
      <c r="BZ439" s="67"/>
      <c r="CA439" s="67"/>
      <c r="CB439" s="67"/>
      <c r="CC439" s="67"/>
      <c r="CD439" s="67"/>
      <c r="CE439" s="67"/>
      <c r="CF439" s="67"/>
      <c r="CG439" s="67"/>
      <c r="CH439" s="67"/>
      <c r="CI439" s="67"/>
      <c r="CJ439" s="67"/>
      <c r="CK439" s="67"/>
      <c r="CL439" s="67"/>
      <c r="CM439" s="67"/>
      <c r="CN439" s="67"/>
      <c r="CO439" s="67"/>
      <c r="CP439" s="67"/>
      <c r="CQ439" s="67"/>
      <c r="CR439" s="67"/>
      <c r="CS439" s="67"/>
      <c r="CT439" s="67"/>
      <c r="CU439" s="67"/>
      <c r="CV439" s="67"/>
      <c r="CW439" s="67"/>
      <c r="CX439" s="67"/>
      <c r="CY439" s="67"/>
      <c r="CZ439" s="67"/>
      <c r="DA439" s="67"/>
      <c r="DB439" s="67"/>
      <c r="DC439" s="67"/>
      <c r="DD439" s="67"/>
      <c r="DE439" s="67"/>
      <c r="DF439" s="67"/>
      <c r="DG439" s="67"/>
      <c r="DH439" s="67"/>
      <c r="DI439" s="67"/>
      <c r="DJ439" s="67"/>
      <c r="DK439" s="67"/>
      <c r="DL439" s="67"/>
      <c r="DM439" s="67"/>
      <c r="DN439" s="67"/>
      <c r="DO439" s="67"/>
      <c r="DP439" s="67"/>
      <c r="DQ439" s="67"/>
      <c r="DR439" s="67"/>
      <c r="DS439" s="67"/>
      <c r="DT439" s="67"/>
      <c r="DU439" s="67"/>
    </row>
    <row r="440" spans="1:125" x14ac:dyDescent="0.25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  <c r="AA440" s="67"/>
      <c r="AB440" s="67"/>
      <c r="AC440" s="67"/>
      <c r="AD440" s="67"/>
      <c r="AE440" s="67"/>
      <c r="AF440" s="67"/>
      <c r="AG440" s="67"/>
      <c r="AH440" s="67"/>
      <c r="AI440" s="67"/>
      <c r="AJ440" s="67"/>
      <c r="AK440" s="67"/>
      <c r="AL440" s="67"/>
      <c r="AM440" s="67"/>
      <c r="AN440" s="67"/>
      <c r="AO440" s="67"/>
      <c r="AP440" s="67"/>
      <c r="AQ440" s="67"/>
      <c r="AR440" s="67"/>
      <c r="AS440" s="67"/>
      <c r="AT440" s="67"/>
      <c r="AU440" s="67"/>
      <c r="AV440" s="67"/>
      <c r="AW440" s="67"/>
      <c r="AX440" s="67"/>
      <c r="AY440" s="67"/>
      <c r="AZ440" s="67"/>
      <c r="BA440" s="67"/>
      <c r="BB440" s="67"/>
      <c r="BC440" s="67"/>
      <c r="BD440" s="67"/>
      <c r="BE440" s="67"/>
      <c r="BF440" s="67"/>
      <c r="BG440" s="67"/>
      <c r="BH440" s="67"/>
      <c r="BI440" s="67"/>
      <c r="BJ440" s="67"/>
      <c r="BK440" s="67"/>
      <c r="BL440" s="67"/>
      <c r="BM440" s="67"/>
      <c r="BN440" s="67"/>
      <c r="BO440" s="67"/>
      <c r="BP440" s="67"/>
      <c r="BQ440" s="67"/>
      <c r="BR440" s="67"/>
      <c r="BS440" s="67"/>
      <c r="BT440" s="67"/>
      <c r="BU440" s="67"/>
      <c r="BV440" s="67"/>
      <c r="BW440" s="67"/>
      <c r="BX440" s="67"/>
      <c r="BY440" s="67"/>
      <c r="BZ440" s="67"/>
      <c r="CA440" s="67"/>
      <c r="CB440" s="67"/>
      <c r="CC440" s="67"/>
      <c r="CD440" s="67"/>
      <c r="CE440" s="67"/>
      <c r="CF440" s="67"/>
      <c r="CG440" s="67"/>
      <c r="CH440" s="67"/>
      <c r="CI440" s="67"/>
      <c r="CJ440" s="67"/>
      <c r="CK440" s="67"/>
      <c r="CL440" s="67"/>
      <c r="CM440" s="67"/>
      <c r="CN440" s="67"/>
      <c r="CO440" s="67"/>
      <c r="CP440" s="67"/>
      <c r="CQ440" s="67"/>
      <c r="CR440" s="67"/>
      <c r="CS440" s="67"/>
      <c r="CT440" s="67"/>
      <c r="CU440" s="67"/>
      <c r="CV440" s="67"/>
      <c r="CW440" s="67"/>
      <c r="CX440" s="67"/>
      <c r="CY440" s="67"/>
      <c r="CZ440" s="67"/>
      <c r="DA440" s="67"/>
      <c r="DB440" s="67"/>
      <c r="DC440" s="67"/>
      <c r="DD440" s="67"/>
      <c r="DE440" s="67"/>
      <c r="DF440" s="67"/>
      <c r="DG440" s="67"/>
      <c r="DH440" s="67"/>
      <c r="DI440" s="67"/>
      <c r="DJ440" s="67"/>
      <c r="DK440" s="67"/>
      <c r="DL440" s="67"/>
      <c r="DM440" s="67"/>
      <c r="DN440" s="67"/>
      <c r="DO440" s="67"/>
      <c r="DP440" s="67"/>
      <c r="DQ440" s="67"/>
      <c r="DR440" s="67"/>
      <c r="DS440" s="67"/>
      <c r="DT440" s="67"/>
      <c r="DU440" s="67"/>
    </row>
    <row r="441" spans="1:125" x14ac:dyDescent="0.25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  <c r="AA441" s="67"/>
      <c r="AB441" s="67"/>
      <c r="AC441" s="67"/>
      <c r="AD441" s="67"/>
      <c r="AE441" s="67"/>
      <c r="AF441" s="67"/>
      <c r="AG441" s="67"/>
      <c r="AH441" s="67"/>
      <c r="AI441" s="67"/>
      <c r="AJ441" s="67"/>
      <c r="AK441" s="67"/>
      <c r="AL441" s="67"/>
      <c r="AM441" s="67"/>
      <c r="AN441" s="67"/>
      <c r="AO441" s="67"/>
      <c r="AP441" s="67"/>
      <c r="AQ441" s="67"/>
      <c r="AR441" s="67"/>
      <c r="AS441" s="67"/>
      <c r="AT441" s="67"/>
      <c r="AU441" s="67"/>
      <c r="AV441" s="67"/>
      <c r="AW441" s="67"/>
      <c r="AX441" s="67"/>
      <c r="AY441" s="67"/>
      <c r="AZ441" s="67"/>
      <c r="BA441" s="67"/>
      <c r="BB441" s="67"/>
      <c r="BC441" s="67"/>
      <c r="BD441" s="67"/>
      <c r="BE441" s="67"/>
      <c r="BF441" s="67"/>
      <c r="BG441" s="67"/>
      <c r="BH441" s="67"/>
      <c r="BI441" s="67"/>
      <c r="BJ441" s="67"/>
      <c r="BK441" s="67"/>
      <c r="BL441" s="67"/>
      <c r="BM441" s="67"/>
      <c r="BN441" s="67"/>
      <c r="BO441" s="67"/>
      <c r="BP441" s="67"/>
      <c r="BQ441" s="67"/>
      <c r="BR441" s="67"/>
      <c r="BS441" s="67"/>
      <c r="BT441" s="67"/>
      <c r="BU441" s="67"/>
      <c r="BV441" s="67"/>
      <c r="BW441" s="67"/>
      <c r="BX441" s="67"/>
      <c r="BY441" s="67"/>
      <c r="BZ441" s="67"/>
      <c r="CA441" s="67"/>
      <c r="CB441" s="67"/>
      <c r="CC441" s="67"/>
      <c r="CD441" s="67"/>
      <c r="CE441" s="67"/>
      <c r="CF441" s="67"/>
      <c r="CG441" s="67"/>
      <c r="CH441" s="67"/>
      <c r="CI441" s="67"/>
      <c r="CJ441" s="67"/>
      <c r="CK441" s="67"/>
      <c r="CL441" s="67"/>
      <c r="CM441" s="67"/>
      <c r="CN441" s="67"/>
      <c r="CO441" s="67"/>
      <c r="CP441" s="67"/>
      <c r="CQ441" s="67"/>
      <c r="CR441" s="67"/>
      <c r="CS441" s="67"/>
      <c r="CT441" s="67"/>
      <c r="CU441" s="67"/>
      <c r="CV441" s="67"/>
      <c r="CW441" s="67"/>
      <c r="CX441" s="67"/>
      <c r="CY441" s="67"/>
      <c r="CZ441" s="67"/>
      <c r="DA441" s="67"/>
      <c r="DB441" s="67"/>
      <c r="DC441" s="67"/>
      <c r="DD441" s="67"/>
      <c r="DE441" s="67"/>
      <c r="DF441" s="67"/>
      <c r="DG441" s="67"/>
      <c r="DH441" s="67"/>
      <c r="DI441" s="67"/>
      <c r="DJ441" s="67"/>
      <c r="DK441" s="67"/>
      <c r="DL441" s="67"/>
      <c r="DM441" s="67"/>
      <c r="DN441" s="67"/>
      <c r="DO441" s="67"/>
      <c r="DP441" s="67"/>
      <c r="DQ441" s="67"/>
      <c r="DR441" s="67"/>
      <c r="DS441" s="67"/>
      <c r="DT441" s="67"/>
      <c r="DU441" s="6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28"/>
  <sheetViews>
    <sheetView showGridLines="0" tabSelected="1" zoomScale="86" zoomScaleNormal="86" workbookViewId="0">
      <selection activeCell="D9" sqref="D9"/>
    </sheetView>
  </sheetViews>
  <sheetFormatPr baseColWidth="10" defaultRowHeight="15" x14ac:dyDescent="0.25"/>
  <cols>
    <col min="3" max="3" width="9.42578125" customWidth="1"/>
    <col min="4" max="4" width="11.7109375" customWidth="1"/>
    <col min="5" max="5" width="4.42578125" customWidth="1"/>
    <col min="6" max="6" width="11.7109375" customWidth="1"/>
    <col min="8" max="8" width="4.5703125" style="16" customWidth="1"/>
    <col min="9" max="9" width="13.140625" customWidth="1"/>
    <col min="10" max="10" width="47.42578125" customWidth="1"/>
    <col min="11" max="11" width="4.7109375" customWidth="1"/>
    <col min="12" max="12" width="4" customWidth="1"/>
  </cols>
  <sheetData>
    <row r="1" spans="1:19" s="67" customFormat="1" x14ac:dyDescent="0.25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</row>
    <row r="2" spans="1:19" s="67" customFormat="1" ht="15.75" customHeight="1" x14ac:dyDescent="0.25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</row>
    <row r="3" spans="1:19" s="67" customFormat="1" x14ac:dyDescent="0.25">
      <c r="A3" s="144"/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</row>
    <row r="4" spans="1:19" s="67" customFormat="1" ht="22.5" customHeight="1" x14ac:dyDescent="0.25">
      <c r="H4" s="4"/>
    </row>
    <row r="5" spans="1:19" s="67" customFormat="1" x14ac:dyDescent="0.25">
      <c r="H5" s="4"/>
    </row>
    <row r="6" spans="1:19" s="67" customFormat="1" x14ac:dyDescent="0.25">
      <c r="H6" s="4"/>
    </row>
    <row r="8" spans="1:19" x14ac:dyDescent="0.25">
      <c r="K8" s="2"/>
    </row>
    <row r="9" spans="1:19" x14ac:dyDescent="0.25">
      <c r="G9" s="40"/>
    </row>
    <row r="10" spans="1:19" x14ac:dyDescent="0.25">
      <c r="G10" s="16"/>
      <c r="I10" s="16"/>
      <c r="J10" s="16"/>
      <c r="K10" s="16"/>
      <c r="L10" s="16"/>
    </row>
    <row r="11" spans="1:19" x14ac:dyDescent="0.25">
      <c r="G11" s="16"/>
      <c r="H11" s="4"/>
      <c r="I11" s="4"/>
      <c r="J11" s="4"/>
      <c r="K11" s="4"/>
      <c r="L11" s="7"/>
      <c r="M11" s="3"/>
      <c r="N11" s="3"/>
    </row>
    <row r="12" spans="1:19" x14ac:dyDescent="0.25">
      <c r="G12" s="16"/>
      <c r="H12" s="4"/>
      <c r="I12" s="4"/>
      <c r="J12" s="4"/>
      <c r="K12" s="4"/>
      <c r="L12" s="7"/>
      <c r="M12" s="3"/>
      <c r="N12" s="3"/>
    </row>
    <row r="13" spans="1:19" x14ac:dyDescent="0.25">
      <c r="G13" s="16"/>
      <c r="H13" s="9"/>
      <c r="I13" s="4"/>
      <c r="J13" s="4"/>
      <c r="K13" s="4"/>
      <c r="L13" s="7"/>
      <c r="M13" s="3"/>
      <c r="N13" s="3"/>
    </row>
    <row r="14" spans="1:19" ht="18.75" x14ac:dyDescent="0.3">
      <c r="G14" s="16"/>
      <c r="H14" s="4"/>
      <c r="I14" s="69" t="s">
        <v>0</v>
      </c>
      <c r="J14" s="71"/>
      <c r="K14" s="9"/>
      <c r="L14" s="7"/>
      <c r="M14" s="3"/>
      <c r="N14" s="3"/>
    </row>
    <row r="15" spans="1:19" x14ac:dyDescent="0.25">
      <c r="G15" s="16"/>
      <c r="H15" s="9"/>
      <c r="I15" s="4"/>
      <c r="J15" s="4"/>
      <c r="K15" s="4"/>
      <c r="L15" s="7"/>
      <c r="M15" s="3"/>
      <c r="N15" s="3"/>
    </row>
    <row r="16" spans="1:19" ht="18.75" x14ac:dyDescent="0.3">
      <c r="G16" s="16"/>
      <c r="H16" s="4"/>
      <c r="I16" s="69" t="s">
        <v>1</v>
      </c>
      <c r="J16" s="71"/>
      <c r="K16" s="9"/>
      <c r="L16" s="7"/>
      <c r="M16" s="3"/>
      <c r="N16" s="3"/>
    </row>
    <row r="17" spans="1:14" x14ac:dyDescent="0.25">
      <c r="G17" s="16"/>
      <c r="H17" s="9"/>
      <c r="I17" s="4"/>
      <c r="J17" s="4"/>
      <c r="K17" s="4"/>
      <c r="L17" s="7"/>
      <c r="M17" s="3"/>
      <c r="N17" s="3"/>
    </row>
    <row r="18" spans="1:14" ht="35.25" customHeight="1" x14ac:dyDescent="0.25">
      <c r="A18" s="5"/>
      <c r="B18" s="5"/>
      <c r="C18" s="5"/>
      <c r="D18" s="5"/>
      <c r="E18" s="5"/>
      <c r="G18" s="16"/>
      <c r="H18" s="65"/>
      <c r="I18" s="70" t="s">
        <v>2</v>
      </c>
      <c r="J18" s="73"/>
      <c r="K18" s="4"/>
      <c r="L18" s="7"/>
      <c r="M18" s="3"/>
      <c r="N18" s="3"/>
    </row>
    <row r="19" spans="1:14" x14ac:dyDescent="0.25">
      <c r="G19" s="16"/>
      <c r="H19" s="9"/>
      <c r="I19" s="4"/>
      <c r="J19" s="10"/>
      <c r="K19" s="4"/>
      <c r="L19" s="7"/>
      <c r="M19" s="3"/>
      <c r="N19" s="3"/>
    </row>
    <row r="20" spans="1:14" ht="18.75" customHeight="1" x14ac:dyDescent="0.3">
      <c r="E20" s="8"/>
      <c r="G20" s="16"/>
      <c r="H20" s="4"/>
      <c r="I20" s="69" t="s">
        <v>92</v>
      </c>
      <c r="J20" s="71"/>
      <c r="K20" s="4"/>
      <c r="L20" s="7"/>
      <c r="M20" s="3"/>
      <c r="N20" s="3"/>
    </row>
    <row r="21" spans="1:14" x14ac:dyDescent="0.25">
      <c r="G21" s="16"/>
      <c r="H21" s="4"/>
      <c r="I21" s="4"/>
      <c r="J21" s="4"/>
      <c r="K21" s="4"/>
      <c r="L21" s="7"/>
      <c r="M21" s="3"/>
      <c r="N21" s="3"/>
    </row>
    <row r="22" spans="1:14" x14ac:dyDescent="0.25">
      <c r="G22" s="16"/>
      <c r="H22" s="4"/>
      <c r="I22" s="4"/>
      <c r="J22" s="4"/>
      <c r="K22" s="4"/>
      <c r="L22" s="7"/>
      <c r="M22" s="3"/>
      <c r="N22" s="3"/>
    </row>
    <row r="23" spans="1:14" x14ac:dyDescent="0.25">
      <c r="G23" s="16"/>
      <c r="H23" s="4"/>
      <c r="I23" s="4"/>
      <c r="J23" s="4"/>
      <c r="K23" s="4"/>
      <c r="L23" s="7"/>
      <c r="M23" s="3"/>
      <c r="N23" s="3"/>
    </row>
    <row r="24" spans="1:14" x14ac:dyDescent="0.25">
      <c r="G24" s="16"/>
      <c r="H24" s="4"/>
      <c r="I24" s="4"/>
      <c r="J24" s="4"/>
      <c r="K24" s="4"/>
      <c r="L24" s="74"/>
      <c r="M24" s="3"/>
      <c r="N24" s="3"/>
    </row>
    <row r="25" spans="1:14" x14ac:dyDescent="0.25">
      <c r="G25" s="16"/>
      <c r="H25" s="4"/>
      <c r="I25" s="4"/>
      <c r="J25" s="4"/>
      <c r="K25" s="4"/>
      <c r="L25" s="7"/>
      <c r="M25" s="3"/>
      <c r="N25" s="3"/>
    </row>
    <row r="26" spans="1:14" x14ac:dyDescent="0.25">
      <c r="G26" s="16"/>
      <c r="H26" s="4"/>
      <c r="I26" s="4"/>
      <c r="J26" s="4"/>
      <c r="K26" s="4"/>
      <c r="L26" s="7"/>
      <c r="M26" s="3"/>
      <c r="N26" s="3"/>
    </row>
    <row r="27" spans="1:14" x14ac:dyDescent="0.25">
      <c r="G27" s="16"/>
      <c r="H27" s="4"/>
      <c r="I27" s="4"/>
      <c r="J27" s="4"/>
      <c r="K27" s="4"/>
      <c r="L27" s="7"/>
      <c r="M27" s="3"/>
      <c r="N27" s="3"/>
    </row>
    <row r="28" spans="1:14" x14ac:dyDescent="0.25">
      <c r="H28" s="4"/>
      <c r="I28" s="67"/>
      <c r="J28" s="67"/>
      <c r="K28" s="67"/>
      <c r="L28" s="3"/>
      <c r="M28" s="3"/>
      <c r="N28" s="3"/>
    </row>
  </sheetData>
  <mergeCells count="1">
    <mergeCell ref="A1:S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P28"/>
  <sheetViews>
    <sheetView showGridLines="0" zoomScale="90" zoomScaleNormal="90" workbookViewId="0">
      <selection activeCell="E17" sqref="E17"/>
    </sheetView>
  </sheetViews>
  <sheetFormatPr baseColWidth="10" defaultRowHeight="15" x14ac:dyDescent="0.25"/>
  <cols>
    <col min="7" max="7" width="11.5703125" customWidth="1"/>
    <col min="8" max="8" width="3.140625" customWidth="1"/>
    <col min="9" max="9" width="18.42578125" customWidth="1"/>
    <col min="10" max="10" width="46.28515625" customWidth="1"/>
    <col min="11" max="11" width="4" customWidth="1"/>
  </cols>
  <sheetData>
    <row r="1" spans="1:354" x14ac:dyDescent="0.2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</row>
    <row r="2" spans="1:354" ht="15" customHeight="1" x14ac:dyDescent="0.2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</row>
    <row r="3" spans="1:354" ht="15" customHeight="1" x14ac:dyDescent="0.25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</row>
    <row r="4" spans="1:354" ht="23.25" customHeight="1" x14ac:dyDescent="0.25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</row>
    <row r="5" spans="1:354" s="6" customFormat="1" ht="12.75" customHeight="1" x14ac:dyDescent="0.2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</row>
    <row r="6" spans="1:354" s="67" customFormat="1" ht="10.5" customHeight="1" x14ac:dyDescent="0.25"/>
    <row r="7" spans="1:354" x14ac:dyDescent="0.25"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</row>
    <row r="8" spans="1:354" x14ac:dyDescent="0.25"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</row>
    <row r="9" spans="1:354" x14ac:dyDescent="0.25"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</row>
    <row r="10" spans="1:354" x14ac:dyDescent="0.25">
      <c r="H10" s="16"/>
      <c r="I10" s="16"/>
      <c r="J10" s="16"/>
      <c r="K10" s="16"/>
      <c r="L10" s="16"/>
    </row>
    <row r="11" spans="1:354" x14ac:dyDescent="0.25">
      <c r="H11" s="4"/>
      <c r="I11" s="4"/>
      <c r="J11" s="4"/>
      <c r="K11" s="4"/>
      <c r="L11" s="16"/>
    </row>
    <row r="12" spans="1:354" x14ac:dyDescent="0.25">
      <c r="H12" s="4"/>
      <c r="I12" s="4"/>
      <c r="J12" s="4"/>
      <c r="K12" s="4"/>
      <c r="L12" s="16"/>
    </row>
    <row r="13" spans="1:354" x14ac:dyDescent="0.25">
      <c r="H13" s="9"/>
      <c r="I13" s="4"/>
      <c r="J13" s="4"/>
      <c r="K13" s="4"/>
      <c r="L13" s="16"/>
    </row>
    <row r="14" spans="1:354" ht="18.75" x14ac:dyDescent="0.3">
      <c r="H14" s="4"/>
      <c r="I14" s="69" t="s">
        <v>45</v>
      </c>
      <c r="J14" s="71"/>
      <c r="K14" s="9"/>
      <c r="L14" s="16"/>
    </row>
    <row r="15" spans="1:354" x14ac:dyDescent="0.25">
      <c r="H15" s="9"/>
      <c r="I15" s="4"/>
      <c r="J15" s="4"/>
      <c r="K15" s="4"/>
      <c r="L15" s="16"/>
    </row>
    <row r="16" spans="1:354" ht="18.75" x14ac:dyDescent="0.3">
      <c r="H16" s="4"/>
      <c r="I16" s="69" t="s">
        <v>1</v>
      </c>
      <c r="J16" s="71"/>
      <c r="K16" s="9"/>
      <c r="L16" s="16"/>
    </row>
    <row r="17" spans="4:12" x14ac:dyDescent="0.25">
      <c r="H17" s="9"/>
      <c r="I17" s="4"/>
      <c r="J17" s="4"/>
      <c r="K17" s="4"/>
      <c r="L17" s="16"/>
    </row>
    <row r="18" spans="4:12" ht="18.75" customHeight="1" x14ac:dyDescent="0.3">
      <c r="H18" s="4"/>
      <c r="I18" s="69" t="s">
        <v>3</v>
      </c>
      <c r="J18" s="71"/>
      <c r="K18" s="4"/>
      <c r="L18" s="16"/>
    </row>
    <row r="19" spans="4:12" x14ac:dyDescent="0.25">
      <c r="H19" s="4"/>
      <c r="I19" s="4"/>
      <c r="J19" s="4"/>
      <c r="K19" s="4"/>
      <c r="L19" s="16"/>
    </row>
    <row r="20" spans="4:12" x14ac:dyDescent="0.25">
      <c r="H20" s="4"/>
      <c r="I20" s="4"/>
      <c r="J20" s="4"/>
      <c r="K20" s="4"/>
      <c r="L20" s="16"/>
    </row>
    <row r="21" spans="4:12" x14ac:dyDescent="0.25">
      <c r="H21" s="4"/>
      <c r="I21" s="4"/>
      <c r="J21" s="4"/>
      <c r="K21" s="4"/>
      <c r="L21" s="16"/>
    </row>
    <row r="22" spans="4:12" x14ac:dyDescent="0.25">
      <c r="D22" s="16"/>
      <c r="E22" s="16"/>
      <c r="F22" s="16"/>
      <c r="H22" s="4"/>
      <c r="I22" s="4"/>
      <c r="J22" s="4"/>
      <c r="K22" s="4"/>
      <c r="L22" s="16"/>
    </row>
    <row r="23" spans="4:12" x14ac:dyDescent="0.25">
      <c r="D23" s="16"/>
      <c r="E23" s="74"/>
      <c r="F23" s="16"/>
      <c r="H23" s="4"/>
      <c r="I23" s="4"/>
      <c r="J23" s="4"/>
      <c r="K23" s="4"/>
      <c r="L23" s="16"/>
    </row>
    <row r="24" spans="4:12" x14ac:dyDescent="0.25">
      <c r="D24" s="16"/>
      <c r="E24" s="16"/>
      <c r="F24" s="16"/>
      <c r="H24" s="4"/>
      <c r="I24" s="4"/>
      <c r="J24" s="4"/>
      <c r="K24" s="4"/>
      <c r="L24" s="16"/>
    </row>
    <row r="25" spans="4:12" x14ac:dyDescent="0.25">
      <c r="D25" s="16"/>
      <c r="E25" s="16"/>
      <c r="F25" s="16"/>
      <c r="H25" s="4"/>
      <c r="I25" s="4"/>
      <c r="J25" s="4"/>
      <c r="K25" s="4"/>
      <c r="L25" s="16"/>
    </row>
    <row r="26" spans="4:12" x14ac:dyDescent="0.25">
      <c r="D26" s="16"/>
      <c r="E26" s="16"/>
      <c r="F26" s="16"/>
      <c r="H26" s="4"/>
      <c r="I26" s="4"/>
      <c r="J26" s="4"/>
      <c r="K26" s="4"/>
      <c r="L26" s="16"/>
    </row>
    <row r="27" spans="4:12" x14ac:dyDescent="0.25">
      <c r="H27" s="4"/>
      <c r="I27" s="4"/>
      <c r="J27" s="4"/>
      <c r="K27" s="4"/>
      <c r="L27" s="16"/>
    </row>
    <row r="28" spans="4:12" x14ac:dyDescent="0.25">
      <c r="G28" s="3"/>
      <c r="H28" s="7"/>
      <c r="I28" s="7"/>
      <c r="J28" s="7"/>
      <c r="K28" s="16"/>
      <c r="L28" s="1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F16"/>
  <sheetViews>
    <sheetView showGridLines="0" workbookViewId="0">
      <selection activeCell="D25" sqref="D25"/>
    </sheetView>
  </sheetViews>
  <sheetFormatPr baseColWidth="10" defaultRowHeight="15" x14ac:dyDescent="0.25"/>
  <cols>
    <col min="2" max="2" width="13" customWidth="1"/>
    <col min="3" max="3" width="42.42578125" style="12" customWidth="1"/>
    <col min="4" max="4" width="45.85546875" style="68" customWidth="1"/>
    <col min="5" max="5" width="18.42578125" style="12" customWidth="1"/>
  </cols>
  <sheetData>
    <row r="1" spans="2:6" ht="36" customHeight="1" x14ac:dyDescent="0.25"/>
    <row r="2" spans="2:6" ht="30.75" customHeight="1" x14ac:dyDescent="0.25">
      <c r="B2" s="66" t="s">
        <v>0</v>
      </c>
      <c r="C2" s="66" t="s">
        <v>1</v>
      </c>
      <c r="D2" s="66" t="s">
        <v>2</v>
      </c>
      <c r="E2" s="66" t="s">
        <v>3</v>
      </c>
    </row>
    <row r="3" spans="2:6" s="107" customFormat="1" ht="15" customHeight="1" x14ac:dyDescent="0.25">
      <c r="B3" s="106" t="s">
        <v>77</v>
      </c>
      <c r="C3" s="106" t="s">
        <v>78</v>
      </c>
      <c r="D3" s="106" t="s">
        <v>79</v>
      </c>
      <c r="E3" s="106" t="s">
        <v>80</v>
      </c>
    </row>
    <row r="4" spans="2:6" s="107" customFormat="1" ht="15" customHeight="1" x14ac:dyDescent="0.25">
      <c r="B4" s="106" t="s">
        <v>73</v>
      </c>
      <c r="C4" s="106" t="s">
        <v>74</v>
      </c>
      <c r="D4" s="106" t="s">
        <v>75</v>
      </c>
      <c r="E4" s="106" t="s">
        <v>76</v>
      </c>
    </row>
    <row r="5" spans="2:6" s="107" customFormat="1" ht="15" customHeight="1" x14ac:dyDescent="0.25">
      <c r="B5" s="106" t="s">
        <v>54</v>
      </c>
      <c r="C5" s="106" t="s">
        <v>71</v>
      </c>
      <c r="D5" s="106" t="s">
        <v>48</v>
      </c>
      <c r="E5" s="106" t="s">
        <v>72</v>
      </c>
    </row>
    <row r="6" spans="2:6" s="107" customFormat="1" ht="15" customHeight="1" x14ac:dyDescent="0.25">
      <c r="B6" s="106" t="s">
        <v>67</v>
      </c>
      <c r="C6" s="106" t="s">
        <v>68</v>
      </c>
      <c r="D6" s="106" t="s">
        <v>69</v>
      </c>
      <c r="E6" s="106" t="s">
        <v>70</v>
      </c>
    </row>
    <row r="7" spans="2:6" s="107" customFormat="1" ht="15" customHeight="1" x14ac:dyDescent="0.25">
      <c r="B7" s="106" t="s">
        <v>49</v>
      </c>
      <c r="C7" s="106" t="s">
        <v>65</v>
      </c>
      <c r="D7" s="106" t="s">
        <v>10</v>
      </c>
      <c r="E7" s="106" t="s">
        <v>66</v>
      </c>
    </row>
    <row r="8" spans="2:6" s="107" customFormat="1" ht="15" customHeight="1" x14ac:dyDescent="0.25">
      <c r="B8" s="106" t="s">
        <v>47</v>
      </c>
      <c r="C8" s="106" t="s">
        <v>20</v>
      </c>
      <c r="D8" s="106" t="s">
        <v>63</v>
      </c>
      <c r="E8" s="106" t="s">
        <v>64</v>
      </c>
    </row>
    <row r="9" spans="2:6" s="107" customFormat="1" x14ac:dyDescent="0.25">
      <c r="B9" s="106" t="s">
        <v>43</v>
      </c>
      <c r="C9" s="106" t="s">
        <v>46</v>
      </c>
      <c r="D9" s="106" t="s">
        <v>44</v>
      </c>
      <c r="E9" s="106" t="s">
        <v>62</v>
      </c>
    </row>
    <row r="13" spans="2:6" x14ac:dyDescent="0.25">
      <c r="C13" s="122"/>
    </row>
    <row r="16" spans="2:6" x14ac:dyDescent="0.25">
      <c r="F16" s="10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Q11"/>
  <sheetViews>
    <sheetView showGridLines="0" workbookViewId="0">
      <selection activeCell="F11" sqref="F11"/>
    </sheetView>
  </sheetViews>
  <sheetFormatPr baseColWidth="10" defaultRowHeight="15" x14ac:dyDescent="0.25"/>
  <cols>
    <col min="2" max="2" width="14.5703125" style="12" customWidth="1"/>
    <col min="3" max="3" width="53.28515625" customWidth="1"/>
    <col min="4" max="4" width="18" customWidth="1"/>
  </cols>
  <sheetData>
    <row r="1" spans="1:17" ht="7.5" customHeight="1" x14ac:dyDescent="0.25">
      <c r="A1" s="3"/>
      <c r="B1" s="114"/>
      <c r="C1" s="110"/>
      <c r="D1" s="110"/>
      <c r="E1" s="110"/>
      <c r="F1" s="110"/>
      <c r="G1" s="110"/>
      <c r="H1" s="110"/>
      <c r="I1" s="110"/>
      <c r="J1" s="110"/>
      <c r="K1" s="110"/>
      <c r="L1" s="3"/>
      <c r="M1" s="3"/>
      <c r="N1" s="3"/>
      <c r="O1" s="3"/>
      <c r="P1" s="3"/>
      <c r="Q1" s="3"/>
    </row>
    <row r="2" spans="1:17" ht="24.75" customHeight="1" x14ac:dyDescent="0.25">
      <c r="A2" s="110"/>
      <c r="B2" s="114"/>
      <c r="C2" s="110"/>
      <c r="D2" s="110"/>
      <c r="E2" s="110"/>
      <c r="F2" s="110"/>
      <c r="G2" s="110"/>
      <c r="H2" s="110"/>
      <c r="I2" s="110"/>
      <c r="J2" s="110"/>
      <c r="K2" s="110"/>
      <c r="L2" s="3"/>
      <c r="M2" s="3"/>
      <c r="N2" s="3"/>
      <c r="O2" s="3"/>
      <c r="P2" s="3"/>
      <c r="Q2" s="3"/>
    </row>
    <row r="3" spans="1:17" ht="34.5" hidden="1" customHeight="1" x14ac:dyDescent="0.25">
      <c r="A3" s="108"/>
      <c r="B3" s="109"/>
      <c r="C3" s="108"/>
      <c r="D3" s="108"/>
      <c r="E3" s="108"/>
      <c r="F3" s="108"/>
      <c r="G3" s="108"/>
      <c r="H3" s="108"/>
      <c r="I3" s="108"/>
      <c r="J3" s="108"/>
      <c r="K3" s="108"/>
      <c r="L3" s="6"/>
      <c r="M3" s="3"/>
      <c r="N3" s="3"/>
      <c r="O3" s="3"/>
      <c r="P3" s="3"/>
      <c r="Q3" s="3"/>
    </row>
    <row r="4" spans="1:17" s="3" customFormat="1" ht="8.25" customHeight="1" x14ac:dyDescent="0.25">
      <c r="B4" s="17"/>
    </row>
    <row r="5" spans="1:17" s="11" customFormat="1" ht="30" x14ac:dyDescent="0.25">
      <c r="A5" s="1"/>
      <c r="B5" s="120" t="s">
        <v>11</v>
      </c>
      <c r="C5" s="121" t="s">
        <v>1</v>
      </c>
      <c r="D5" s="121" t="s">
        <v>3</v>
      </c>
    </row>
    <row r="6" spans="1:17" s="119" customFormat="1" ht="16.5" x14ac:dyDescent="0.25">
      <c r="A6" s="115"/>
      <c r="B6" s="116">
        <v>112006</v>
      </c>
      <c r="C6" s="117" t="s">
        <v>53</v>
      </c>
      <c r="D6" s="118" t="s">
        <v>61</v>
      </c>
    </row>
    <row r="7" spans="1:17" s="119" customFormat="1" ht="16.5" x14ac:dyDescent="0.25">
      <c r="A7" s="115"/>
      <c r="B7" s="116">
        <v>112005</v>
      </c>
      <c r="C7" s="117" t="s">
        <v>59</v>
      </c>
      <c r="D7" s="118" t="s">
        <v>60</v>
      </c>
    </row>
    <row r="8" spans="1:17" s="119" customFormat="1" ht="16.5" x14ac:dyDescent="0.25">
      <c r="A8" s="115"/>
      <c r="B8" s="116">
        <v>112004</v>
      </c>
      <c r="C8" s="117" t="s">
        <v>57</v>
      </c>
      <c r="D8" s="118" t="s">
        <v>58</v>
      </c>
    </row>
    <row r="9" spans="1:17" s="119" customFormat="1" ht="16.5" x14ac:dyDescent="0.25">
      <c r="A9" s="115"/>
      <c r="B9" s="116">
        <v>112003</v>
      </c>
      <c r="C9" s="117" t="s">
        <v>52</v>
      </c>
      <c r="D9" s="118" t="s">
        <v>56</v>
      </c>
    </row>
    <row r="10" spans="1:17" s="119" customFormat="1" ht="16.5" x14ac:dyDescent="0.25">
      <c r="A10" s="115"/>
      <c r="B10" s="116">
        <v>112002</v>
      </c>
      <c r="C10" s="117" t="s">
        <v>19</v>
      </c>
      <c r="D10" s="118" t="s">
        <v>55</v>
      </c>
    </row>
    <row r="11" spans="1:17" s="119" customFormat="1" ht="16.5" x14ac:dyDescent="0.25">
      <c r="A11" s="115"/>
      <c r="B11" s="116">
        <v>112001</v>
      </c>
      <c r="C11" s="117" t="s">
        <v>50</v>
      </c>
      <c r="D11" s="118" t="s">
        <v>51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0"/>
  <sheetViews>
    <sheetView showGridLines="0" zoomScale="90" zoomScaleNormal="90" workbookViewId="0">
      <selection activeCell="E23" sqref="E23"/>
    </sheetView>
  </sheetViews>
  <sheetFormatPr baseColWidth="10" defaultRowHeight="15" x14ac:dyDescent="0.25"/>
  <cols>
    <col min="1" max="2" width="11.42578125" style="52"/>
    <col min="3" max="3" width="11.42578125" style="53"/>
    <col min="4" max="4" width="11.42578125" style="52"/>
    <col min="5" max="5" width="11.42578125" style="53" customWidth="1"/>
    <col min="6" max="6" width="5.140625" style="52" customWidth="1"/>
    <col min="7" max="7" width="25.5703125" style="52" customWidth="1"/>
    <col min="8" max="8" width="37.85546875" style="62" customWidth="1"/>
    <col min="9" max="9" width="11.42578125" style="52"/>
    <col min="10" max="10" width="13.42578125" style="53" customWidth="1"/>
    <col min="11" max="16384" width="11.42578125" style="52"/>
  </cols>
  <sheetData>
    <row r="1" spans="1:17" x14ac:dyDescent="0.25">
      <c r="A1" s="49"/>
      <c r="B1" s="49"/>
      <c r="C1" s="50"/>
      <c r="D1" s="49"/>
      <c r="E1" s="50"/>
      <c r="F1" s="49"/>
      <c r="G1" s="49"/>
      <c r="H1" s="51"/>
      <c r="I1" s="49"/>
      <c r="J1" s="50"/>
      <c r="K1" s="49"/>
      <c r="L1" s="49"/>
      <c r="M1" s="49"/>
      <c r="N1" s="49"/>
      <c r="O1" s="49"/>
      <c r="P1" s="49"/>
      <c r="Q1" s="49"/>
    </row>
    <row r="2" spans="1:17" x14ac:dyDescent="0.25">
      <c r="A2" s="49"/>
      <c r="B2" s="49"/>
      <c r="C2" s="50"/>
      <c r="D2" s="49"/>
      <c r="E2" s="50"/>
      <c r="F2" s="49"/>
      <c r="G2" s="49"/>
      <c r="H2" s="51"/>
      <c r="I2" s="49"/>
      <c r="J2" s="50"/>
      <c r="K2" s="49"/>
      <c r="L2" s="49"/>
      <c r="M2" s="49"/>
      <c r="N2" s="49"/>
      <c r="O2" s="49"/>
      <c r="P2" s="49"/>
      <c r="Q2" s="49"/>
    </row>
    <row r="3" spans="1:17" x14ac:dyDescent="0.25">
      <c r="A3" s="49"/>
      <c r="B3" s="49"/>
      <c r="C3" s="50"/>
      <c r="D3" s="49"/>
      <c r="E3" s="50"/>
      <c r="F3" s="49"/>
      <c r="G3" s="49"/>
      <c r="H3" s="51"/>
      <c r="I3" s="49"/>
      <c r="J3" s="50"/>
      <c r="K3" s="49"/>
      <c r="L3" s="49"/>
      <c r="M3" s="49"/>
      <c r="N3" s="49"/>
      <c r="O3" s="49"/>
      <c r="P3" s="49"/>
      <c r="Q3" s="49"/>
    </row>
    <row r="4" spans="1:17" ht="21" customHeight="1" x14ac:dyDescent="0.25">
      <c r="A4" s="49"/>
      <c r="B4" s="49"/>
      <c r="C4" s="50"/>
      <c r="D4" s="49"/>
      <c r="E4" s="50"/>
      <c r="F4" s="49"/>
      <c r="G4" s="49"/>
      <c r="H4" s="51"/>
      <c r="I4" s="49"/>
      <c r="J4" s="50"/>
      <c r="K4" s="49"/>
      <c r="L4" s="49"/>
      <c r="M4" s="49"/>
      <c r="N4" s="49"/>
      <c r="O4" s="49"/>
      <c r="P4" s="49"/>
      <c r="Q4" s="49"/>
    </row>
    <row r="5" spans="1:17" ht="15.75" thickBot="1" x14ac:dyDescent="0.3">
      <c r="F5" s="53"/>
      <c r="G5" s="53"/>
      <c r="H5" s="54"/>
      <c r="I5" s="53"/>
    </row>
    <row r="6" spans="1:17" ht="16.5" thickTop="1" thickBot="1" x14ac:dyDescent="0.3">
      <c r="F6" s="87"/>
      <c r="G6" s="88"/>
      <c r="H6" s="112" t="s">
        <v>43</v>
      </c>
      <c r="I6" s="88"/>
      <c r="J6" s="88"/>
      <c r="K6" s="88"/>
      <c r="L6" s="89"/>
    </row>
    <row r="7" spans="1:17" ht="19.5" thickBot="1" x14ac:dyDescent="0.35">
      <c r="F7" s="90"/>
      <c r="G7" s="84" t="s">
        <v>12</v>
      </c>
      <c r="H7" s="56" t="str">
        <f>VLOOKUP(H6,CLIENTES[],2,FALSE)</f>
        <v>CAROLINA YANEZ ORDOÑEZ</v>
      </c>
      <c r="I7" s="53"/>
      <c r="K7" s="53"/>
      <c r="L7" s="91"/>
    </row>
    <row r="8" spans="1:17" ht="15.75" thickBot="1" x14ac:dyDescent="0.3">
      <c r="F8" s="90"/>
      <c r="G8" s="55"/>
      <c r="H8" s="113">
        <v>112003</v>
      </c>
      <c r="I8" s="53"/>
      <c r="K8" s="53"/>
      <c r="L8" s="91"/>
    </row>
    <row r="9" spans="1:17" ht="19.5" thickBot="1" x14ac:dyDescent="0.35">
      <c r="F9" s="90"/>
      <c r="G9" s="86" t="s">
        <v>13</v>
      </c>
      <c r="H9" s="56" t="str">
        <f>VLOOKUP(H8,EMPRESAS[],2,FALSE)</f>
        <v>ALCALDIA DE SANTA LUCIA</v>
      </c>
      <c r="I9" s="53"/>
      <c r="K9" s="53"/>
      <c r="L9" s="91"/>
    </row>
    <row r="10" spans="1:17" ht="15.75" thickBot="1" x14ac:dyDescent="0.3">
      <c r="F10" s="90"/>
      <c r="G10" s="55"/>
      <c r="H10" s="54"/>
      <c r="I10" s="53"/>
      <c r="K10" s="53"/>
      <c r="L10" s="91"/>
    </row>
    <row r="11" spans="1:17" ht="19.5" thickBot="1" x14ac:dyDescent="0.35">
      <c r="C11" s="64">
        <f>MAX(ESTADOS[Cod. Cuenta por Cobrar ]+1)</f>
        <v>3</v>
      </c>
      <c r="E11" s="85"/>
      <c r="F11" s="90"/>
      <c r="G11" s="86" t="s">
        <v>14</v>
      </c>
      <c r="H11" s="57">
        <v>200</v>
      </c>
      <c r="I11" s="53"/>
      <c r="K11" s="53"/>
      <c r="L11" s="91"/>
    </row>
    <row r="12" spans="1:17" ht="15.75" thickBot="1" x14ac:dyDescent="0.3">
      <c r="F12" s="90"/>
      <c r="G12" s="55"/>
      <c r="H12" s="58"/>
      <c r="I12" s="53"/>
      <c r="K12" s="53"/>
      <c r="L12" s="91"/>
    </row>
    <row r="13" spans="1:17" ht="19.5" thickBot="1" x14ac:dyDescent="0.35">
      <c r="F13" s="92"/>
      <c r="G13" s="86" t="s">
        <v>30</v>
      </c>
      <c r="H13" s="56"/>
      <c r="I13" s="53"/>
      <c r="K13" s="53"/>
      <c r="L13" s="91"/>
    </row>
    <row r="14" spans="1:17" ht="15.75" thickBot="1" x14ac:dyDescent="0.3">
      <c r="F14" s="90"/>
      <c r="G14" s="55"/>
      <c r="H14" s="54"/>
      <c r="I14" s="53"/>
      <c r="K14" s="53"/>
      <c r="L14" s="91"/>
    </row>
    <row r="15" spans="1:17" ht="19.5" thickBot="1" x14ac:dyDescent="0.35">
      <c r="E15" s="83" t="s">
        <v>28</v>
      </c>
      <c r="F15" s="90"/>
      <c r="G15" s="86" t="s">
        <v>21</v>
      </c>
      <c r="H15" s="56" t="s">
        <v>28</v>
      </c>
      <c r="I15" s="53"/>
      <c r="K15" s="53"/>
      <c r="L15" s="91"/>
    </row>
    <row r="16" spans="1:17" ht="15.75" thickBot="1" x14ac:dyDescent="0.3">
      <c r="E16" s="83" t="s">
        <v>25</v>
      </c>
      <c r="F16" s="90"/>
      <c r="G16" s="55"/>
      <c r="H16" s="54"/>
      <c r="I16" s="53"/>
      <c r="J16" s="59"/>
      <c r="K16" s="53"/>
      <c r="L16" s="91"/>
    </row>
    <row r="17" spans="5:12" ht="19.5" thickBot="1" x14ac:dyDescent="0.35">
      <c r="E17" s="83" t="s">
        <v>26</v>
      </c>
      <c r="F17" s="90"/>
      <c r="G17" s="86" t="s">
        <v>16</v>
      </c>
      <c r="H17" s="60"/>
      <c r="I17" s="53"/>
      <c r="J17" s="111">
        <f>H11*H17</f>
        <v>0</v>
      </c>
      <c r="K17" s="93"/>
      <c r="L17" s="91"/>
    </row>
    <row r="18" spans="5:12" ht="15.75" thickBot="1" x14ac:dyDescent="0.3">
      <c r="E18" s="83" t="s">
        <v>27</v>
      </c>
      <c r="F18" s="90"/>
      <c r="G18" s="55"/>
      <c r="H18" s="54"/>
      <c r="I18" s="53"/>
      <c r="K18" s="53"/>
      <c r="L18" s="91"/>
    </row>
    <row r="19" spans="5:12" ht="19.5" thickBot="1" x14ac:dyDescent="0.35">
      <c r="F19" s="90"/>
      <c r="G19" s="86" t="s">
        <v>22</v>
      </c>
      <c r="H19" s="56"/>
      <c r="I19" s="53"/>
      <c r="K19" s="53"/>
      <c r="L19" s="91"/>
    </row>
    <row r="20" spans="5:12" ht="15.75" thickBot="1" x14ac:dyDescent="0.3">
      <c r="F20" s="90"/>
      <c r="G20" s="55"/>
      <c r="H20" s="54"/>
      <c r="I20" s="53"/>
      <c r="K20" s="53"/>
      <c r="L20" s="91"/>
    </row>
    <row r="21" spans="5:12" ht="19.5" thickBot="1" x14ac:dyDescent="0.35">
      <c r="F21" s="90"/>
      <c r="G21" s="86" t="s">
        <v>23</v>
      </c>
      <c r="H21" s="123" t="e">
        <f>(H11/H19)+(J17/H19)</f>
        <v>#DIV/0!</v>
      </c>
      <c r="I21" s="53"/>
      <c r="K21" s="53"/>
      <c r="L21" s="91"/>
    </row>
    <row r="22" spans="5:12" ht="15.75" thickBot="1" x14ac:dyDescent="0.3">
      <c r="F22" s="90"/>
      <c r="G22" s="55"/>
      <c r="H22" s="54"/>
      <c r="I22" s="53"/>
      <c r="K22" s="53"/>
      <c r="L22" s="91"/>
    </row>
    <row r="23" spans="5:12" ht="19.5" thickBot="1" x14ac:dyDescent="0.35">
      <c r="F23" s="90"/>
      <c r="G23" s="86" t="s">
        <v>24</v>
      </c>
      <c r="H23" s="63" t="e">
        <f>H21*H19</f>
        <v>#DIV/0!</v>
      </c>
      <c r="I23" s="53"/>
      <c r="K23" s="53"/>
      <c r="L23" s="91"/>
    </row>
    <row r="24" spans="5:12" ht="15.75" thickBot="1" x14ac:dyDescent="0.3">
      <c r="F24" s="90"/>
      <c r="G24" s="55"/>
      <c r="H24" s="54"/>
      <c r="I24" s="53"/>
      <c r="K24" s="53"/>
      <c r="L24" s="91"/>
    </row>
    <row r="25" spans="5:12" ht="19.5" thickBot="1" x14ac:dyDescent="0.35">
      <c r="F25" s="90"/>
      <c r="G25" s="86" t="s">
        <v>15</v>
      </c>
      <c r="H25" s="61"/>
      <c r="I25" s="53"/>
      <c r="K25" s="53"/>
      <c r="L25" s="91"/>
    </row>
    <row r="26" spans="5:12" ht="15.75" thickBot="1" x14ac:dyDescent="0.3">
      <c r="F26" s="94"/>
      <c r="G26" s="95"/>
      <c r="H26" s="96"/>
      <c r="I26" s="95"/>
      <c r="J26" s="95"/>
      <c r="K26" s="95"/>
      <c r="L26" s="97"/>
    </row>
    <row r="27" spans="5:12" ht="15.75" thickTop="1" x14ac:dyDescent="0.25">
      <c r="F27" s="53"/>
      <c r="G27" s="53"/>
      <c r="H27" s="54"/>
      <c r="I27" s="53"/>
    </row>
    <row r="28" spans="5:12" x14ac:dyDescent="0.25">
      <c r="F28" s="53"/>
      <c r="G28" s="53"/>
      <c r="H28" s="54"/>
      <c r="I28" s="53"/>
    </row>
    <row r="29" spans="5:12" x14ac:dyDescent="0.25">
      <c r="F29" s="53"/>
      <c r="G29" s="53"/>
      <c r="H29" s="54"/>
      <c r="I29" s="53"/>
    </row>
    <row r="30" spans="5:12" x14ac:dyDescent="0.25">
      <c r="F30" s="53"/>
      <c r="G30" s="53"/>
      <c r="H30" s="54"/>
      <c r="I30" s="53"/>
    </row>
  </sheetData>
  <dataValidations count="1">
    <dataValidation type="list" allowBlank="1" showInputMessage="1" showErrorMessage="1" sqref="H15">
      <formula1>modalidad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44"/>
  <sheetViews>
    <sheetView showGridLines="0" topLeftCell="F1" zoomScale="80" zoomScaleNormal="80" workbookViewId="0">
      <selection activeCell="L23" sqref="L23"/>
    </sheetView>
  </sheetViews>
  <sheetFormatPr baseColWidth="10" defaultRowHeight="15" x14ac:dyDescent="0.25"/>
  <cols>
    <col min="1" max="1" width="11.42578125" style="16"/>
    <col min="2" max="2" width="15.5703125" style="12" customWidth="1"/>
    <col min="3" max="3" width="14.140625" style="12" customWidth="1"/>
    <col min="4" max="4" width="34.5703125" style="12" customWidth="1"/>
    <col min="5" max="5" width="35.85546875" style="12" customWidth="1"/>
    <col min="6" max="6" width="24.85546875" style="12" customWidth="1"/>
    <col min="7" max="7" width="20.7109375" style="26" customWidth="1"/>
    <col min="8" max="8" width="17.7109375" style="40" customWidth="1"/>
    <col min="9" max="9" width="12.7109375" style="12" customWidth="1"/>
    <col min="10" max="10" width="16.85546875" style="134" customWidth="1"/>
    <col min="11" max="11" width="19.28515625" style="30" customWidth="1"/>
    <col min="12" max="12" width="13.5703125" customWidth="1"/>
    <col min="13" max="13" width="16.5703125" customWidth="1"/>
    <col min="14" max="14" width="12.28515625" customWidth="1"/>
    <col min="15" max="15" width="9.7109375" style="39" customWidth="1"/>
    <col min="16" max="16" width="42" customWidth="1"/>
    <col min="17" max="17" width="14.7109375" style="39" customWidth="1"/>
    <col min="18" max="18" width="11.42578125" style="16"/>
  </cols>
  <sheetData>
    <row r="1" spans="1:19" x14ac:dyDescent="0.25">
      <c r="A1" s="15"/>
      <c r="B1" s="13"/>
      <c r="C1" s="13"/>
      <c r="D1" s="42"/>
      <c r="E1" s="13"/>
      <c r="F1" s="13"/>
      <c r="G1" s="27"/>
      <c r="H1" s="130"/>
      <c r="I1" s="13"/>
      <c r="J1" s="133"/>
      <c r="K1" s="29"/>
      <c r="L1" s="6"/>
      <c r="M1" s="6"/>
      <c r="N1" s="6"/>
      <c r="O1" s="38"/>
      <c r="P1" s="6"/>
      <c r="Q1" s="38"/>
      <c r="R1" s="15"/>
      <c r="S1" s="3"/>
    </row>
    <row r="2" spans="1:19" x14ac:dyDescent="0.25">
      <c r="A2" s="15"/>
      <c r="B2" s="13"/>
      <c r="C2" s="13"/>
      <c r="D2" s="13"/>
      <c r="E2" s="13"/>
      <c r="F2" s="13"/>
      <c r="G2" s="27"/>
      <c r="H2" s="130"/>
      <c r="I2" s="13"/>
      <c r="J2" s="133"/>
      <c r="K2" s="29"/>
      <c r="L2" s="6"/>
      <c r="M2" s="6"/>
      <c r="N2" s="6"/>
      <c r="O2" s="38"/>
      <c r="P2" s="6"/>
      <c r="Q2" s="38"/>
      <c r="R2" s="15"/>
      <c r="S2" s="3"/>
    </row>
    <row r="3" spans="1:19" ht="23.25" customHeight="1" x14ac:dyDescent="0.25">
      <c r="A3" s="15"/>
      <c r="B3" s="13"/>
      <c r="C3" s="13"/>
      <c r="D3" s="13"/>
      <c r="E3" s="13"/>
      <c r="F3" s="13"/>
      <c r="G3" s="27"/>
      <c r="H3" s="130"/>
      <c r="I3" s="13"/>
      <c r="J3" s="133"/>
      <c r="K3" s="29"/>
      <c r="L3" s="6"/>
      <c r="M3" s="6"/>
      <c r="N3" s="6"/>
      <c r="O3" s="38"/>
      <c r="P3" s="6"/>
      <c r="Q3" s="38"/>
      <c r="R3" s="15"/>
      <c r="S3" s="3"/>
    </row>
    <row r="4" spans="1:19" ht="37.5" customHeight="1" x14ac:dyDescent="0.25">
      <c r="A4" s="15"/>
      <c r="B4" s="13"/>
      <c r="C4" s="13"/>
      <c r="D4" s="13"/>
      <c r="E4" s="13"/>
      <c r="F4" s="13"/>
      <c r="G4" s="27"/>
      <c r="H4" s="130"/>
      <c r="I4" s="13"/>
      <c r="J4" s="133"/>
      <c r="K4" s="29"/>
      <c r="L4" s="6"/>
      <c r="M4" s="6"/>
      <c r="N4" s="6"/>
      <c r="O4" s="38"/>
      <c r="P4" s="6"/>
      <c r="Q4" s="38"/>
      <c r="R4" s="15"/>
      <c r="S4" s="3"/>
    </row>
    <row r="5" spans="1:19" x14ac:dyDescent="0.25">
      <c r="F5" s="14"/>
    </row>
    <row r="6" spans="1:19" ht="18" customHeight="1" x14ac:dyDescent="0.25">
      <c r="B6" s="48" t="s">
        <v>36</v>
      </c>
      <c r="C6" s="25">
        <f ca="1">TODAY()</f>
        <v>44221</v>
      </c>
    </row>
    <row r="9" spans="1:19" ht="21" customHeight="1" x14ac:dyDescent="0.25"/>
    <row r="10" spans="1:19" ht="43.5" customHeight="1" x14ac:dyDescent="0.25">
      <c r="A10" s="7"/>
      <c r="B10" s="79" t="s">
        <v>0</v>
      </c>
      <c r="C10" s="79" t="s">
        <v>11</v>
      </c>
      <c r="D10" s="79" t="s">
        <v>17</v>
      </c>
      <c r="E10" s="79" t="s">
        <v>13</v>
      </c>
      <c r="F10" s="79" t="s">
        <v>4</v>
      </c>
      <c r="G10" s="80" t="s">
        <v>14</v>
      </c>
      <c r="H10" s="79" t="s">
        <v>7</v>
      </c>
      <c r="I10" s="79" t="s">
        <v>40</v>
      </c>
      <c r="J10" s="140" t="s">
        <v>31</v>
      </c>
      <c r="K10" s="79" t="s">
        <v>29</v>
      </c>
      <c r="L10" s="79" t="s">
        <v>38</v>
      </c>
      <c r="M10" s="81" t="s">
        <v>39</v>
      </c>
      <c r="N10" s="79" t="s">
        <v>37</v>
      </c>
      <c r="O10" s="82" t="s">
        <v>5</v>
      </c>
      <c r="P10" s="79" t="s">
        <v>6</v>
      </c>
      <c r="Q10" s="141" t="s">
        <v>35</v>
      </c>
    </row>
    <row r="11" spans="1:19" s="18" customFormat="1" ht="15" customHeight="1" x14ac:dyDescent="0.25">
      <c r="A11" s="23"/>
      <c r="B11" s="43" t="s">
        <v>43</v>
      </c>
      <c r="C11" s="43">
        <v>112003</v>
      </c>
      <c r="D11" s="43" t="str">
        <f>VLOOKUP(ESTADOS[ID Cliente],CLIENTES[],2,FALSE)</f>
        <v>CAROLINA YANEZ ORDOÑEZ</v>
      </c>
      <c r="E11" s="43" t="str">
        <f>VLOOKUP(ESTADOS[Codigo Empresa], EMPRESAS[], 2,FALSE)</f>
        <v>ALCALDIA DE SANTA LUCIA</v>
      </c>
      <c r="F11" s="43" t="s">
        <v>91</v>
      </c>
      <c r="G11" s="44">
        <v>10000</v>
      </c>
      <c r="H11" s="131">
        <v>43863</v>
      </c>
      <c r="I11" s="43" t="s">
        <v>90</v>
      </c>
      <c r="J11" s="135">
        <v>1200</v>
      </c>
      <c r="K11" s="138" t="s">
        <v>28</v>
      </c>
      <c r="L11" s="43"/>
      <c r="M11" s="46">
        <v>44167</v>
      </c>
      <c r="N11" s="43" t="str">
        <f ca="1">IF(ISNUMBER(L11),"PAGADO",IF(ESTADOS[[#This Row],[Fecha Vencimiento]]&gt;$C$6,"PENDIENTE",IF(ESTADOS[[#This Row],[Fecha Vencimiento]]&lt;$C$6,"VENCIDO","")))</f>
        <v>VENCIDO</v>
      </c>
      <c r="O11" s="45">
        <f ca="1">IF(ESTADOS[[#This Row],[Estado de Factura ]]="PAGADO","0",IF(ESTADOS[[#This Row],[Fecha Vencimiento]]&lt;$C$6,ESTADOS[[#This Row],[Fecha Vencimiento]]-$C$6,"0"))</f>
        <v>-54</v>
      </c>
      <c r="P11" s="43" t="str">
        <f ca="1">IF(ESTADOS[[#This Row],[Estado de Factura ]]="PAGADO","",IF(ESTADOS[[#This Row],[Dias de Mora]]&lt;=-1,"Ha Excedido el limite de tiempo de Pago",""))</f>
        <v>Ha Excedido el limite de tiempo de Pago</v>
      </c>
      <c r="Q11" s="128">
        <v>2</v>
      </c>
      <c r="R11" s="23"/>
    </row>
    <row r="12" spans="1:19" s="18" customFormat="1" ht="15" customHeight="1" x14ac:dyDescent="0.25">
      <c r="A12" s="23"/>
      <c r="B12" s="43" t="s">
        <v>43</v>
      </c>
      <c r="C12" s="43">
        <v>112003</v>
      </c>
      <c r="D12" s="43" t="str">
        <f>VLOOKUP(ESTADOS[ID Cliente],CLIENTES[],2,FALSE)</f>
        <v>CAROLINA YANEZ ORDOÑEZ</v>
      </c>
      <c r="E12" s="43" t="str">
        <f>VLOOKUP(ESTADOS[Codigo Empresa], EMPRESAS[], 2,FALSE)</f>
        <v>ALCALDIA DE SANTA LUCIA</v>
      </c>
      <c r="F12" s="43" t="s">
        <v>91</v>
      </c>
      <c r="G12" s="44">
        <v>10000</v>
      </c>
      <c r="H12" s="131">
        <v>43863</v>
      </c>
      <c r="I12" s="43" t="s">
        <v>89</v>
      </c>
      <c r="J12" s="135">
        <v>1200</v>
      </c>
      <c r="K12" s="138" t="s">
        <v>28</v>
      </c>
      <c r="L12" s="47">
        <v>44137</v>
      </c>
      <c r="M12" s="46">
        <v>44137</v>
      </c>
      <c r="N12" s="43" t="str">
        <f>IF(ISNUMBER(L12),"PAGADO",IF(ESTADOS[[#This Row],[Fecha Vencimiento]]&gt;$C$6,"PENDIENTE",IF(ESTADOS[[#This Row],[Fecha Vencimiento]]&lt;$C$6,"VENCIDO","")))</f>
        <v>PAGADO</v>
      </c>
      <c r="O12" s="45" t="str">
        <f>IF(ESTADOS[[#This Row],[Estado de Factura ]]="PAGADO","0",IF(ESTADOS[[#This Row],[Fecha Vencimiento]]&lt;$C$6,ESTADOS[[#This Row],[Fecha Vencimiento]]-$C$6,"0"))</f>
        <v>0</v>
      </c>
      <c r="P12" s="43" t="str">
        <f>IF(ESTADOS[[#This Row],[Estado de Factura ]]="PAGADO","",IF(ESTADOS[[#This Row],[Dias de Mora]]&lt;=-1,"Ha Excedido el limite de tiempo de Pago",""))</f>
        <v/>
      </c>
      <c r="Q12" s="128">
        <v>2</v>
      </c>
      <c r="R12" s="23"/>
    </row>
    <row r="13" spans="1:19" s="18" customFormat="1" ht="15" customHeight="1" x14ac:dyDescent="0.25">
      <c r="A13" s="23"/>
      <c r="B13" s="43" t="s">
        <v>43</v>
      </c>
      <c r="C13" s="43">
        <v>112003</v>
      </c>
      <c r="D13" s="43" t="str">
        <f>VLOOKUP(ESTADOS[ID Cliente],CLIENTES[],2,FALSE)</f>
        <v>CAROLINA YANEZ ORDOÑEZ</v>
      </c>
      <c r="E13" s="43" t="str">
        <f>VLOOKUP(ESTADOS[Codigo Empresa], EMPRESAS[], 2,FALSE)</f>
        <v>ALCALDIA DE SANTA LUCIA</v>
      </c>
      <c r="F13" s="43" t="s">
        <v>91</v>
      </c>
      <c r="G13" s="44">
        <v>10000</v>
      </c>
      <c r="H13" s="131">
        <v>43863</v>
      </c>
      <c r="I13" s="43" t="s">
        <v>88</v>
      </c>
      <c r="J13" s="135">
        <v>1200</v>
      </c>
      <c r="K13" s="138" t="s">
        <v>28</v>
      </c>
      <c r="L13" s="43"/>
      <c r="M13" s="46">
        <v>44106</v>
      </c>
      <c r="N13" s="43" t="str">
        <f ca="1">IF(ISNUMBER(L13),"PAGADO",IF(ESTADOS[[#This Row],[Fecha Vencimiento]]&gt;$C$6,"PENDIENTE",IF(ESTADOS[[#This Row],[Fecha Vencimiento]]&lt;$C$6,"VENCIDO","")))</f>
        <v>VENCIDO</v>
      </c>
      <c r="O13" s="45">
        <f ca="1">IF(ESTADOS[[#This Row],[Estado de Factura ]]="PAGADO","0",IF(ESTADOS[[#This Row],[Fecha Vencimiento]]&lt;$C$6,ESTADOS[[#This Row],[Fecha Vencimiento]]-$C$6,"0"))</f>
        <v>-115</v>
      </c>
      <c r="P13" s="43" t="str">
        <f ca="1">IF(ESTADOS[[#This Row],[Estado de Factura ]]="PAGADO","",IF(ESTADOS[[#This Row],[Dias de Mora]]&lt;=-1,"Ha Excedido el limite de tiempo de Pago",""))</f>
        <v>Ha Excedido el limite de tiempo de Pago</v>
      </c>
      <c r="Q13" s="128">
        <v>2</v>
      </c>
      <c r="R13" s="23"/>
    </row>
    <row r="14" spans="1:19" s="18" customFormat="1" ht="15" customHeight="1" x14ac:dyDescent="0.25">
      <c r="A14" s="23"/>
      <c r="B14" s="43" t="s">
        <v>43</v>
      </c>
      <c r="C14" s="43">
        <v>112003</v>
      </c>
      <c r="D14" s="43" t="str">
        <f>VLOOKUP(ESTADOS[ID Cliente],CLIENTES[],2,FALSE)</f>
        <v>CAROLINA YANEZ ORDOÑEZ</v>
      </c>
      <c r="E14" s="43" t="str">
        <f>VLOOKUP(ESTADOS[Codigo Empresa], EMPRESAS[], 2,FALSE)</f>
        <v>ALCALDIA DE SANTA LUCIA</v>
      </c>
      <c r="F14" s="43" t="s">
        <v>91</v>
      </c>
      <c r="G14" s="44">
        <v>10000</v>
      </c>
      <c r="H14" s="131">
        <v>43863</v>
      </c>
      <c r="I14" s="43" t="s">
        <v>87</v>
      </c>
      <c r="J14" s="135">
        <v>1200</v>
      </c>
      <c r="K14" s="138" t="s">
        <v>28</v>
      </c>
      <c r="L14" s="43"/>
      <c r="M14" s="46">
        <v>44076</v>
      </c>
      <c r="N14" s="43" t="str">
        <f ca="1">IF(ISNUMBER(L14),"PAGADO",IF(ESTADOS[[#This Row],[Fecha Vencimiento]]&gt;$C$6,"PENDIENTE",IF(ESTADOS[[#This Row],[Fecha Vencimiento]]&lt;$C$6,"VENCIDO","")))</f>
        <v>VENCIDO</v>
      </c>
      <c r="O14" s="45">
        <f ca="1">IF(ESTADOS[[#This Row],[Estado de Factura ]]="PAGADO","0",IF(ESTADOS[[#This Row],[Fecha Vencimiento]]&lt;$C$6,ESTADOS[[#This Row],[Fecha Vencimiento]]-$C$6,"0"))</f>
        <v>-145</v>
      </c>
      <c r="P14" s="43" t="str">
        <f ca="1">IF(ESTADOS[[#This Row],[Estado de Factura ]]="PAGADO","",IF(ESTADOS[[#This Row],[Dias de Mora]]&lt;=-1,"Ha Excedido el limite de tiempo de Pago",""))</f>
        <v>Ha Excedido el limite de tiempo de Pago</v>
      </c>
      <c r="Q14" s="128">
        <v>2</v>
      </c>
      <c r="R14" s="23"/>
    </row>
    <row r="15" spans="1:19" s="18" customFormat="1" ht="15" customHeight="1" x14ac:dyDescent="0.25">
      <c r="A15" s="23"/>
      <c r="B15" s="43" t="s">
        <v>43</v>
      </c>
      <c r="C15" s="43">
        <v>112003</v>
      </c>
      <c r="D15" s="43" t="str">
        <f>VLOOKUP(ESTADOS[ID Cliente],CLIENTES[],2,FALSE)</f>
        <v>CAROLINA YANEZ ORDOÑEZ</v>
      </c>
      <c r="E15" s="43" t="str">
        <f>VLOOKUP(ESTADOS[Codigo Empresa], EMPRESAS[], 2,FALSE)</f>
        <v>ALCALDIA DE SANTA LUCIA</v>
      </c>
      <c r="F15" s="43" t="s">
        <v>91</v>
      </c>
      <c r="G15" s="44">
        <v>10000</v>
      </c>
      <c r="H15" s="131">
        <v>43863</v>
      </c>
      <c r="I15" s="43" t="s">
        <v>86</v>
      </c>
      <c r="J15" s="135">
        <v>1200</v>
      </c>
      <c r="K15" s="138" t="s">
        <v>28</v>
      </c>
      <c r="L15" s="43"/>
      <c r="M15" s="46">
        <v>44045</v>
      </c>
      <c r="N15" s="43" t="str">
        <f ca="1">IF(ISNUMBER(L15),"PAGADO",IF(ESTADOS[[#This Row],[Fecha Vencimiento]]&gt;$C$6,"PENDIENTE",IF(ESTADOS[[#This Row],[Fecha Vencimiento]]&lt;$C$6,"VENCIDO","")))</f>
        <v>VENCIDO</v>
      </c>
      <c r="O15" s="45">
        <f ca="1">IF(ESTADOS[[#This Row],[Estado de Factura ]]="PAGADO","0",IF(ESTADOS[[#This Row],[Fecha Vencimiento]]&lt;$C$6,ESTADOS[[#This Row],[Fecha Vencimiento]]-$C$6,"0"))</f>
        <v>-176</v>
      </c>
      <c r="P15" s="43" t="str">
        <f ca="1">IF(ESTADOS[[#This Row],[Estado de Factura ]]="PAGADO","",IF(ESTADOS[[#This Row],[Dias de Mora]]&lt;=-1,"Ha Excedido el limite de tiempo de Pago",""))</f>
        <v>Ha Excedido el limite de tiempo de Pago</v>
      </c>
      <c r="Q15" s="128">
        <v>2</v>
      </c>
      <c r="R15" s="23"/>
    </row>
    <row r="16" spans="1:19" s="18" customFormat="1" ht="15" customHeight="1" x14ac:dyDescent="0.25">
      <c r="A16" s="23"/>
      <c r="B16" s="43" t="s">
        <v>43</v>
      </c>
      <c r="C16" s="43">
        <v>112003</v>
      </c>
      <c r="D16" s="43" t="str">
        <f>VLOOKUP(ESTADOS[ID Cliente],CLIENTES[],2,FALSE)</f>
        <v>CAROLINA YANEZ ORDOÑEZ</v>
      </c>
      <c r="E16" s="43" t="str">
        <f>VLOOKUP(ESTADOS[Codigo Empresa], EMPRESAS[], 2,FALSE)</f>
        <v>ALCALDIA DE SANTA LUCIA</v>
      </c>
      <c r="F16" s="43" t="s">
        <v>91</v>
      </c>
      <c r="G16" s="44">
        <v>10000</v>
      </c>
      <c r="H16" s="131">
        <v>43863</v>
      </c>
      <c r="I16" s="43" t="s">
        <v>85</v>
      </c>
      <c r="J16" s="135">
        <v>1200</v>
      </c>
      <c r="K16" s="138" t="s">
        <v>28</v>
      </c>
      <c r="L16" s="43"/>
      <c r="M16" s="46">
        <v>44014</v>
      </c>
      <c r="N16" s="43" t="str">
        <f ca="1">IF(ISNUMBER(L16),"PAGADO",IF(ESTADOS[[#This Row],[Fecha Vencimiento]]&gt;$C$6,"PENDIENTE",IF(ESTADOS[[#This Row],[Fecha Vencimiento]]&lt;$C$6,"VENCIDO","")))</f>
        <v>VENCIDO</v>
      </c>
      <c r="O16" s="45">
        <f ca="1">IF(ESTADOS[[#This Row],[Estado de Factura ]]="PAGADO","0",IF(ESTADOS[[#This Row],[Fecha Vencimiento]]&lt;$C$6,ESTADOS[[#This Row],[Fecha Vencimiento]]-$C$6,"0"))</f>
        <v>-207</v>
      </c>
      <c r="P16" s="43" t="str">
        <f ca="1">IF(ESTADOS[[#This Row],[Estado de Factura ]]="PAGADO","",IF(ESTADOS[[#This Row],[Dias de Mora]]&lt;=-1,"Ha Excedido el limite de tiempo de Pago",""))</f>
        <v>Ha Excedido el limite de tiempo de Pago</v>
      </c>
      <c r="Q16" s="128">
        <v>2</v>
      </c>
      <c r="R16" s="23"/>
    </row>
    <row r="17" spans="1:18" s="18" customFormat="1" ht="15" customHeight="1" x14ac:dyDescent="0.25">
      <c r="A17" s="23"/>
      <c r="B17" s="43" t="s">
        <v>43</v>
      </c>
      <c r="C17" s="43">
        <v>112003</v>
      </c>
      <c r="D17" s="43" t="str">
        <f>VLOOKUP(ESTADOS[ID Cliente],CLIENTES[],2,FALSE)</f>
        <v>CAROLINA YANEZ ORDOÑEZ</v>
      </c>
      <c r="E17" s="43" t="str">
        <f>VLOOKUP(ESTADOS[Codigo Empresa], EMPRESAS[], 2,FALSE)</f>
        <v>ALCALDIA DE SANTA LUCIA</v>
      </c>
      <c r="F17" s="43" t="s">
        <v>91</v>
      </c>
      <c r="G17" s="44">
        <v>10000</v>
      </c>
      <c r="H17" s="131">
        <v>43863</v>
      </c>
      <c r="I17" s="43" t="s">
        <v>84</v>
      </c>
      <c r="J17" s="135">
        <v>1200</v>
      </c>
      <c r="K17" s="138" t="s">
        <v>28</v>
      </c>
      <c r="L17" s="43"/>
      <c r="M17" s="46">
        <v>43984</v>
      </c>
      <c r="N17" s="43" t="str">
        <f ca="1">IF(ISNUMBER(L17),"PAGADO",IF(ESTADOS[[#This Row],[Fecha Vencimiento]]&gt;$C$6,"PENDIENTE",IF(ESTADOS[[#This Row],[Fecha Vencimiento]]&lt;$C$6,"VENCIDO","")))</f>
        <v>VENCIDO</v>
      </c>
      <c r="O17" s="45">
        <f ca="1">IF(ESTADOS[[#This Row],[Estado de Factura ]]="PAGADO","0",IF(ESTADOS[[#This Row],[Fecha Vencimiento]]&lt;$C$6,ESTADOS[[#This Row],[Fecha Vencimiento]]-$C$6,"0"))</f>
        <v>-237</v>
      </c>
      <c r="P17" s="43" t="str">
        <f ca="1">IF(ESTADOS[[#This Row],[Estado de Factura ]]="PAGADO","",IF(ESTADOS[[#This Row],[Dias de Mora]]&lt;=-1,"Ha Excedido el limite de tiempo de Pago",""))</f>
        <v>Ha Excedido el limite de tiempo de Pago</v>
      </c>
      <c r="Q17" s="128">
        <v>2</v>
      </c>
      <c r="R17" s="23"/>
    </row>
    <row r="18" spans="1:18" s="18" customFormat="1" ht="15" customHeight="1" x14ac:dyDescent="0.25">
      <c r="A18" s="23"/>
      <c r="B18" s="43" t="s">
        <v>43</v>
      </c>
      <c r="C18" s="43">
        <v>112003</v>
      </c>
      <c r="D18" s="43" t="str">
        <f>VLOOKUP(ESTADOS[ID Cliente],CLIENTES[],2,FALSE)</f>
        <v>CAROLINA YANEZ ORDOÑEZ</v>
      </c>
      <c r="E18" s="43" t="str">
        <f>VLOOKUP(ESTADOS[Codigo Empresa], EMPRESAS[], 2,FALSE)</f>
        <v>ALCALDIA DE SANTA LUCIA</v>
      </c>
      <c r="F18" s="43" t="s">
        <v>91</v>
      </c>
      <c r="G18" s="44">
        <v>10000</v>
      </c>
      <c r="H18" s="131">
        <v>43863</v>
      </c>
      <c r="I18" s="43" t="s">
        <v>83</v>
      </c>
      <c r="J18" s="135">
        <v>1200</v>
      </c>
      <c r="K18" s="138" t="s">
        <v>28</v>
      </c>
      <c r="L18" s="43"/>
      <c r="M18" s="46">
        <v>43953</v>
      </c>
      <c r="N18" s="43" t="str">
        <f ca="1">IF(ISNUMBER(L18),"PAGADO",IF(ESTADOS[[#This Row],[Fecha Vencimiento]]&gt;$C$6,"PENDIENTE",IF(ESTADOS[[#This Row],[Fecha Vencimiento]]&lt;$C$6,"VENCIDO","")))</f>
        <v>VENCIDO</v>
      </c>
      <c r="O18" s="45">
        <f ca="1">IF(ESTADOS[[#This Row],[Estado de Factura ]]="PAGADO","0",IF(ESTADOS[[#This Row],[Fecha Vencimiento]]&lt;$C$6,ESTADOS[[#This Row],[Fecha Vencimiento]]-$C$6,"0"))</f>
        <v>-268</v>
      </c>
      <c r="P18" s="43" t="str">
        <f ca="1">IF(ESTADOS[[#This Row],[Estado de Factura ]]="PAGADO","",IF(ESTADOS[[#This Row],[Dias de Mora]]&lt;=-1,"Ha Excedido el limite de tiempo de Pago",""))</f>
        <v>Ha Excedido el limite de tiempo de Pago</v>
      </c>
      <c r="Q18" s="128">
        <v>2</v>
      </c>
      <c r="R18" s="23"/>
    </row>
    <row r="19" spans="1:18" s="18" customFormat="1" ht="15" customHeight="1" x14ac:dyDescent="0.25">
      <c r="A19" s="23"/>
      <c r="B19" s="43" t="s">
        <v>43</v>
      </c>
      <c r="C19" s="43">
        <v>112003</v>
      </c>
      <c r="D19" s="43" t="str">
        <f>VLOOKUP(ESTADOS[ID Cliente],CLIENTES[],2,FALSE)</f>
        <v>CAROLINA YANEZ ORDOÑEZ</v>
      </c>
      <c r="E19" s="43" t="str">
        <f>VLOOKUP(ESTADOS[Codigo Empresa], EMPRESAS[], 2,FALSE)</f>
        <v>ALCALDIA DE SANTA LUCIA</v>
      </c>
      <c r="F19" s="43" t="s">
        <v>91</v>
      </c>
      <c r="G19" s="44">
        <v>10000</v>
      </c>
      <c r="H19" s="131">
        <v>43863</v>
      </c>
      <c r="I19" s="43" t="s">
        <v>82</v>
      </c>
      <c r="J19" s="135">
        <v>1200</v>
      </c>
      <c r="K19" s="138" t="s">
        <v>28</v>
      </c>
      <c r="L19" s="43"/>
      <c r="M19" s="46">
        <v>43923</v>
      </c>
      <c r="N19" s="43" t="str">
        <f ca="1">IF(ISNUMBER(L19),"PAGADO",IF(ESTADOS[[#This Row],[Fecha Vencimiento]]&gt;$C$6,"PENDIENTE",IF(ESTADOS[[#This Row],[Fecha Vencimiento]]&lt;$C$6,"VENCIDO","")))</f>
        <v>VENCIDO</v>
      </c>
      <c r="O19" s="45">
        <f ca="1">IF(ESTADOS[[#This Row],[Estado de Factura ]]="PAGADO","0",IF(ESTADOS[[#This Row],[Fecha Vencimiento]]&lt;$C$6,ESTADOS[[#This Row],[Fecha Vencimiento]]-$C$6,"0"))</f>
        <v>-298</v>
      </c>
      <c r="P19" s="43" t="str">
        <f ca="1">IF(ESTADOS[[#This Row],[Estado de Factura ]]="PAGADO","",IF(ESTADOS[[#This Row],[Dias de Mora]]&lt;=-1,"Ha Excedido el limite de tiempo de Pago",""))</f>
        <v>Ha Excedido el limite de tiempo de Pago</v>
      </c>
      <c r="Q19" s="128">
        <v>2</v>
      </c>
      <c r="R19" s="23"/>
    </row>
    <row r="20" spans="1:18" s="18" customFormat="1" ht="15" customHeight="1" thickBot="1" x14ac:dyDescent="0.3">
      <c r="A20" s="23"/>
      <c r="B20" s="124" t="s">
        <v>43</v>
      </c>
      <c r="C20" s="124">
        <v>112003</v>
      </c>
      <c r="D20" s="124" t="str">
        <f>VLOOKUP(ESTADOS[ID Cliente],CLIENTES[],2,FALSE)</f>
        <v>CAROLINA YANEZ ORDOÑEZ</v>
      </c>
      <c r="E20" s="124" t="str">
        <f>VLOOKUP(ESTADOS[Codigo Empresa], EMPRESAS[], 2,FALSE)</f>
        <v>ALCALDIA DE SANTA LUCIA</v>
      </c>
      <c r="F20" s="124" t="s">
        <v>91</v>
      </c>
      <c r="G20" s="125">
        <v>10000</v>
      </c>
      <c r="H20" s="132">
        <v>43863</v>
      </c>
      <c r="I20" s="124" t="s">
        <v>81</v>
      </c>
      <c r="J20" s="136">
        <v>1200</v>
      </c>
      <c r="K20" s="139" t="s">
        <v>28</v>
      </c>
      <c r="L20" s="124"/>
      <c r="M20" s="127">
        <v>43892</v>
      </c>
      <c r="N20" s="124" t="str">
        <f ca="1">IF(ISNUMBER(L20),"PAGADO",IF(ESTADOS[[#This Row],[Fecha Vencimiento]]&gt;$C$6,"PENDIENTE",IF(ESTADOS[[#This Row],[Fecha Vencimiento]]&lt;$C$6,"VENCIDO","")))</f>
        <v>VENCIDO</v>
      </c>
      <c r="O20" s="126">
        <f ca="1">IF(ESTADOS[[#This Row],[Estado de Factura ]]="PAGADO","0",IF(ESTADOS[[#This Row],[Fecha Vencimiento]]&lt;$C$6,ESTADOS[[#This Row],[Fecha Vencimiento]]-$C$6,"0"))</f>
        <v>-329</v>
      </c>
      <c r="P20" s="124" t="str">
        <f ca="1">IF(ESTADOS[[#This Row],[Estado de Factura ]]="PAGADO","",IF(ESTADOS[[#This Row],[Dias de Mora]]&lt;=-1,"Ha Excedido el limite de tiempo de Pago",""))</f>
        <v>Ha Excedido el limite de tiempo de Pago</v>
      </c>
      <c r="Q20" s="129">
        <v>2</v>
      </c>
      <c r="R20" s="23"/>
    </row>
    <row r="21" spans="1:18" s="18" customFormat="1" ht="15" customHeight="1" x14ac:dyDescent="0.25">
      <c r="A21" s="23"/>
      <c r="B21" s="19"/>
      <c r="C21" s="19"/>
      <c r="D21" s="19"/>
      <c r="E21" s="19"/>
      <c r="F21" s="19"/>
      <c r="G21" s="20"/>
      <c r="H21" s="21"/>
      <c r="I21" s="19"/>
      <c r="J21" s="137"/>
      <c r="K21" s="28"/>
      <c r="L21" s="19"/>
      <c r="M21" s="22"/>
      <c r="N21" s="19"/>
      <c r="O21" s="31"/>
      <c r="P21" s="19"/>
      <c r="Q21" s="31"/>
      <c r="R21" s="23"/>
    </row>
    <row r="22" spans="1:18" s="18" customFormat="1" ht="15" customHeight="1" x14ac:dyDescent="0.25">
      <c r="A22" s="23"/>
      <c r="B22" s="12"/>
      <c r="C22" s="12"/>
      <c r="D22" s="12"/>
      <c r="E22" s="12"/>
      <c r="F22" s="12"/>
      <c r="G22" s="26"/>
      <c r="H22" s="40"/>
      <c r="I22" s="12"/>
      <c r="J22" s="134"/>
      <c r="K22" s="30"/>
      <c r="L22"/>
      <c r="M22"/>
      <c r="N22"/>
      <c r="O22" s="39"/>
      <c r="P22"/>
      <c r="Q22" s="39"/>
      <c r="R22" s="23"/>
    </row>
    <row r="23" spans="1:18" s="18" customFormat="1" ht="15" customHeight="1" x14ac:dyDescent="0.25">
      <c r="A23" s="23"/>
      <c r="B23" s="12"/>
      <c r="C23" s="12"/>
      <c r="D23" s="12"/>
      <c r="E23" s="12"/>
      <c r="F23" s="12"/>
      <c r="G23" s="26"/>
      <c r="H23" s="40"/>
      <c r="I23" s="12"/>
      <c r="J23" s="134"/>
      <c r="K23" s="30"/>
      <c r="L23"/>
      <c r="M23"/>
      <c r="N23"/>
      <c r="O23" s="39"/>
      <c r="P23"/>
      <c r="Q23" s="39"/>
      <c r="R23" s="23"/>
    </row>
    <row r="24" spans="1:18" s="18" customFormat="1" ht="15" customHeight="1" x14ac:dyDescent="0.25">
      <c r="A24" s="23"/>
      <c r="B24" s="12"/>
      <c r="C24" s="12"/>
      <c r="D24" s="12"/>
      <c r="E24" s="12"/>
      <c r="F24" s="12"/>
      <c r="G24" s="26"/>
      <c r="H24" s="40"/>
      <c r="I24" s="12"/>
      <c r="J24" s="134"/>
      <c r="K24" s="30"/>
      <c r="L24"/>
      <c r="M24"/>
      <c r="N24"/>
      <c r="O24" s="39"/>
      <c r="P24"/>
      <c r="Q24" s="39"/>
      <c r="R24" s="23"/>
    </row>
    <row r="25" spans="1:18" s="18" customFormat="1" ht="15" customHeight="1" x14ac:dyDescent="0.25">
      <c r="A25" s="23"/>
      <c r="B25" s="12"/>
      <c r="C25" s="12"/>
      <c r="D25" s="12"/>
      <c r="E25" s="12"/>
      <c r="F25" s="12"/>
      <c r="G25" s="26"/>
      <c r="H25" s="40"/>
      <c r="I25" s="12"/>
      <c r="J25" s="134"/>
      <c r="K25" s="30"/>
      <c r="L25"/>
      <c r="M25"/>
      <c r="N25"/>
      <c r="O25" s="39"/>
      <c r="P25"/>
      <c r="Q25" s="39"/>
      <c r="R25" s="23"/>
    </row>
    <row r="26" spans="1:18" s="18" customFormat="1" ht="15" customHeight="1" x14ac:dyDescent="0.25">
      <c r="A26" s="23"/>
      <c r="B26" s="12"/>
      <c r="C26" s="12"/>
      <c r="D26" s="12"/>
      <c r="E26" s="12"/>
      <c r="F26" s="12"/>
      <c r="G26" s="26"/>
      <c r="H26" s="40"/>
      <c r="I26" s="12"/>
      <c r="J26" s="134"/>
      <c r="K26" s="30"/>
      <c r="L26"/>
      <c r="M26"/>
      <c r="N26"/>
      <c r="O26" s="39"/>
      <c r="P26"/>
      <c r="Q26" s="39"/>
      <c r="R26" s="23"/>
    </row>
    <row r="27" spans="1:18" s="18" customFormat="1" ht="15" customHeight="1" x14ac:dyDescent="0.25">
      <c r="A27" s="23"/>
      <c r="B27" s="12"/>
      <c r="C27" s="12"/>
      <c r="D27" s="12"/>
      <c r="E27" s="12"/>
      <c r="F27" s="12"/>
      <c r="G27" s="26"/>
      <c r="H27" s="40"/>
      <c r="I27" s="12"/>
      <c r="J27" s="134"/>
      <c r="K27" s="30"/>
      <c r="L27"/>
      <c r="M27"/>
      <c r="N27"/>
      <c r="O27" s="39"/>
      <c r="P27"/>
      <c r="Q27" s="39"/>
      <c r="R27" s="23"/>
    </row>
    <row r="28" spans="1:18" s="18" customFormat="1" ht="15" customHeight="1" x14ac:dyDescent="0.25">
      <c r="A28" s="23"/>
      <c r="B28" s="12"/>
      <c r="C28" s="12"/>
      <c r="D28" s="12"/>
      <c r="E28" s="12"/>
      <c r="F28" s="12"/>
      <c r="G28" s="26"/>
      <c r="H28" s="40"/>
      <c r="I28" s="12"/>
      <c r="J28" s="134"/>
      <c r="K28" s="30"/>
      <c r="L28"/>
      <c r="M28"/>
      <c r="N28"/>
      <c r="O28" s="39"/>
      <c r="P28"/>
      <c r="Q28" s="39"/>
      <c r="R28" s="23"/>
    </row>
    <row r="29" spans="1:18" s="18" customFormat="1" ht="15" customHeight="1" x14ac:dyDescent="0.25">
      <c r="A29" s="23"/>
      <c r="B29" s="12"/>
      <c r="C29" s="12"/>
      <c r="D29" s="12"/>
      <c r="E29" s="12"/>
      <c r="F29" s="12"/>
      <c r="G29" s="26"/>
      <c r="H29" s="40"/>
      <c r="I29" s="12"/>
      <c r="J29" s="134"/>
      <c r="K29" s="30"/>
      <c r="L29"/>
      <c r="M29"/>
      <c r="N29"/>
      <c r="O29" s="39"/>
      <c r="P29"/>
      <c r="Q29" s="39"/>
      <c r="R29" s="23"/>
    </row>
    <row r="30" spans="1:18" s="18" customFormat="1" ht="15" customHeight="1" x14ac:dyDescent="0.25">
      <c r="A30" s="23"/>
      <c r="B30" s="12"/>
      <c r="C30" s="12"/>
      <c r="D30" s="12"/>
      <c r="E30" s="12"/>
      <c r="F30" s="12"/>
      <c r="G30" s="26"/>
      <c r="H30" s="40"/>
      <c r="I30" s="12"/>
      <c r="J30" s="134"/>
      <c r="K30" s="30"/>
      <c r="L30"/>
      <c r="M30"/>
      <c r="N30"/>
      <c r="O30" s="39"/>
      <c r="P30"/>
      <c r="Q30" s="39"/>
      <c r="R30" s="23"/>
    </row>
    <row r="31" spans="1:18" s="18" customFormat="1" ht="15" customHeight="1" x14ac:dyDescent="0.25">
      <c r="A31" s="23"/>
      <c r="B31" s="12"/>
      <c r="C31" s="12"/>
      <c r="D31" s="12"/>
      <c r="E31" s="12"/>
      <c r="F31" s="12"/>
      <c r="G31" s="26"/>
      <c r="H31" s="40"/>
      <c r="I31" s="12"/>
      <c r="J31" s="134"/>
      <c r="K31" s="30"/>
      <c r="L31"/>
      <c r="M31"/>
      <c r="N31"/>
      <c r="O31" s="39"/>
      <c r="P31"/>
      <c r="Q31" s="39"/>
      <c r="R31" s="23"/>
    </row>
    <row r="32" spans="1:18" s="18" customFormat="1" ht="15" customHeight="1" x14ac:dyDescent="0.25">
      <c r="A32" s="23"/>
      <c r="B32" s="12"/>
      <c r="C32" s="12"/>
      <c r="D32" s="12"/>
      <c r="E32" s="12"/>
      <c r="F32" s="12"/>
      <c r="G32" s="26"/>
      <c r="H32" s="40"/>
      <c r="I32" s="12"/>
      <c r="J32" s="134"/>
      <c r="K32" s="30"/>
      <c r="L32"/>
      <c r="M32"/>
      <c r="N32"/>
      <c r="O32" s="39"/>
      <c r="P32"/>
      <c r="Q32" s="39"/>
      <c r="R32" s="23"/>
    </row>
    <row r="33" spans="1:18" s="18" customFormat="1" ht="15" customHeight="1" x14ac:dyDescent="0.25">
      <c r="A33" s="23"/>
      <c r="B33" s="12"/>
      <c r="C33" s="12"/>
      <c r="D33" s="12"/>
      <c r="E33" s="12"/>
      <c r="F33" s="12"/>
      <c r="G33" s="26"/>
      <c r="H33" s="40"/>
      <c r="I33" s="12"/>
      <c r="J33" s="134"/>
      <c r="K33" s="30"/>
      <c r="L33"/>
      <c r="M33"/>
      <c r="N33"/>
      <c r="O33" s="39"/>
      <c r="P33"/>
      <c r="Q33" s="39"/>
      <c r="R33" s="23"/>
    </row>
    <row r="34" spans="1:18" s="18" customFormat="1" ht="15" customHeight="1" x14ac:dyDescent="0.25">
      <c r="A34" s="23"/>
      <c r="B34" s="12"/>
      <c r="C34" s="12"/>
      <c r="D34" s="12"/>
      <c r="E34" s="12"/>
      <c r="F34" s="12"/>
      <c r="G34" s="26"/>
      <c r="H34" s="40"/>
      <c r="I34" s="12"/>
      <c r="J34" s="134"/>
      <c r="K34" s="30"/>
      <c r="L34"/>
      <c r="M34"/>
      <c r="N34"/>
      <c r="O34" s="39"/>
      <c r="P34"/>
      <c r="Q34" s="39"/>
      <c r="R34" s="23"/>
    </row>
    <row r="35" spans="1:18" s="18" customFormat="1" ht="15" customHeight="1" x14ac:dyDescent="0.25">
      <c r="A35" s="23"/>
      <c r="B35" s="12"/>
      <c r="C35" s="12"/>
      <c r="D35" s="12"/>
      <c r="E35" s="12"/>
      <c r="F35" s="12"/>
      <c r="G35" s="26"/>
      <c r="H35" s="40"/>
      <c r="I35" s="12"/>
      <c r="J35" s="134"/>
      <c r="K35" s="30"/>
      <c r="L35"/>
      <c r="M35"/>
      <c r="N35"/>
      <c r="O35" s="39"/>
      <c r="P35"/>
      <c r="Q35" s="39"/>
      <c r="R35" s="23"/>
    </row>
    <row r="36" spans="1:18" s="18" customFormat="1" ht="15" customHeight="1" x14ac:dyDescent="0.25">
      <c r="A36" s="23"/>
      <c r="B36" s="12"/>
      <c r="C36" s="12"/>
      <c r="D36" s="41"/>
      <c r="E36" s="12"/>
      <c r="F36" s="12"/>
      <c r="G36" s="26"/>
      <c r="H36" s="40"/>
      <c r="I36" s="12"/>
      <c r="J36" s="134"/>
      <c r="K36" s="30"/>
      <c r="L36"/>
      <c r="M36"/>
      <c r="N36"/>
      <c r="O36" s="39"/>
      <c r="P36"/>
      <c r="Q36" s="39"/>
      <c r="R36" s="23"/>
    </row>
    <row r="37" spans="1:18" s="18" customFormat="1" ht="15" customHeight="1" x14ac:dyDescent="0.25">
      <c r="A37" s="23"/>
      <c r="B37" s="12"/>
      <c r="C37" s="12"/>
      <c r="D37" s="12"/>
      <c r="E37" s="12"/>
      <c r="F37" s="12"/>
      <c r="G37" s="26"/>
      <c r="H37" s="40"/>
      <c r="I37" s="12"/>
      <c r="J37" s="134"/>
      <c r="K37" s="30"/>
      <c r="L37"/>
      <c r="M37"/>
      <c r="N37"/>
      <c r="O37" s="39"/>
      <c r="P37"/>
      <c r="Q37" s="39"/>
      <c r="R37" s="23"/>
    </row>
    <row r="38" spans="1:18" s="18" customFormat="1" ht="15" customHeight="1" x14ac:dyDescent="0.25">
      <c r="A38" s="23"/>
      <c r="B38" s="12"/>
      <c r="C38" s="12"/>
      <c r="D38" s="12"/>
      <c r="E38" s="12"/>
      <c r="F38" s="12"/>
      <c r="G38" s="26"/>
      <c r="H38" s="40"/>
      <c r="I38" s="12"/>
      <c r="J38" s="134"/>
      <c r="K38" s="30"/>
      <c r="L38"/>
      <c r="M38"/>
      <c r="N38"/>
      <c r="O38" s="39"/>
      <c r="P38"/>
      <c r="Q38" s="39"/>
      <c r="R38" s="23"/>
    </row>
    <row r="39" spans="1:18" s="18" customFormat="1" x14ac:dyDescent="0.25">
      <c r="A39" s="23"/>
      <c r="B39" s="12"/>
      <c r="C39" s="12"/>
      <c r="D39" s="12"/>
      <c r="E39" s="12"/>
      <c r="F39" s="12"/>
      <c r="G39" s="26"/>
      <c r="H39" s="40"/>
      <c r="I39" s="12"/>
      <c r="J39" s="134"/>
      <c r="K39" s="30"/>
      <c r="L39"/>
      <c r="M39"/>
      <c r="N39"/>
      <c r="O39" s="39"/>
      <c r="P39"/>
      <c r="Q39" s="39"/>
      <c r="R39" s="23"/>
    </row>
    <row r="40" spans="1:18" s="18" customFormat="1" x14ac:dyDescent="0.25">
      <c r="A40" s="7"/>
      <c r="B40" s="12"/>
      <c r="C40" s="12"/>
      <c r="D40" s="12"/>
      <c r="E40" s="12"/>
      <c r="F40" s="12"/>
      <c r="G40" s="26"/>
      <c r="H40" s="40"/>
      <c r="I40" s="12"/>
      <c r="J40" s="134"/>
      <c r="K40" s="30"/>
      <c r="L40"/>
      <c r="M40"/>
      <c r="N40"/>
      <c r="O40" s="39"/>
      <c r="P40"/>
      <c r="Q40" s="39"/>
      <c r="R40" s="23"/>
    </row>
    <row r="41" spans="1:18" s="18" customFormat="1" x14ac:dyDescent="0.25">
      <c r="A41" s="7"/>
      <c r="B41" s="12"/>
      <c r="C41" s="12"/>
      <c r="D41" s="12"/>
      <c r="E41" s="12"/>
      <c r="F41" s="12"/>
      <c r="G41" s="26"/>
      <c r="H41" s="40"/>
      <c r="I41" s="12"/>
      <c r="J41" s="134"/>
      <c r="K41" s="30"/>
      <c r="L41"/>
      <c r="M41"/>
      <c r="N41"/>
      <c r="O41" s="39"/>
      <c r="P41"/>
      <c r="Q41" s="39"/>
      <c r="R41" s="23"/>
    </row>
    <row r="42" spans="1:18" s="18" customFormat="1" x14ac:dyDescent="0.25">
      <c r="A42" s="7"/>
      <c r="B42" s="12"/>
      <c r="C42" s="12"/>
      <c r="D42" s="12"/>
      <c r="E42" s="12"/>
      <c r="F42" s="12"/>
      <c r="G42" s="26"/>
      <c r="H42" s="40"/>
      <c r="I42" s="12"/>
      <c r="J42" s="134"/>
      <c r="K42" s="30"/>
      <c r="L42"/>
      <c r="M42"/>
      <c r="N42"/>
      <c r="O42" s="39"/>
      <c r="P42"/>
      <c r="Q42" s="39"/>
      <c r="R42" s="23"/>
    </row>
    <row r="43" spans="1:18" s="18" customFormat="1" x14ac:dyDescent="0.25">
      <c r="A43" s="7"/>
      <c r="B43" s="12"/>
      <c r="C43" s="12"/>
      <c r="D43" s="12"/>
      <c r="E43" s="12"/>
      <c r="F43" s="12"/>
      <c r="G43" s="26"/>
      <c r="H43" s="40"/>
      <c r="I43" s="12"/>
      <c r="J43" s="134"/>
      <c r="K43" s="30"/>
      <c r="L43"/>
      <c r="M43"/>
      <c r="N43"/>
      <c r="O43" s="39"/>
      <c r="P43"/>
      <c r="Q43" s="39"/>
      <c r="R43" s="23"/>
    </row>
    <row r="44" spans="1:18" x14ac:dyDescent="0.25">
      <c r="A44" s="7"/>
    </row>
  </sheetData>
  <conditionalFormatting sqref="N11:N20">
    <cfRule type="containsText" dxfId="43" priority="7" operator="containsText" text="PAGADO">
      <formula>NOT(ISERROR(SEARCH("PAGADO",N11)))</formula>
    </cfRule>
    <cfRule type="containsText" dxfId="42" priority="8" operator="containsText" text="PENDIENTE">
      <formula>NOT(ISERROR(SEARCH("PENDIENTE",N11)))</formula>
    </cfRule>
    <cfRule type="containsText" dxfId="41" priority="9" operator="containsText" text="VENCIDO">
      <formula>NOT(ISERROR(SEARCH("VENCIDO",N11)))</formula>
    </cfRule>
    <cfRule type="containsText" dxfId="40" priority="10" operator="containsText" text="VENCIDO">
      <formula>NOT(ISERROR(SEARCH("VENCIDO",N11)))</formula>
    </cfRule>
  </conditionalFormatting>
  <conditionalFormatting sqref="P11:P20">
    <cfRule type="containsText" dxfId="39" priority="1" operator="containsText" text="Ha Excedido el limite de tiempo de Pago">
      <formula>NOT(ISERROR(SEARCH("Ha Excedido el limite de tiempo de Pago",P11)))</formula>
    </cfRule>
    <cfRule type="containsText" dxfId="38" priority="2" operator="containsText" text="&quot;Ha Excedido el limite de tiempo de Pago">
      <formula>NOT(ISERROR(SEARCH("""Ha Excedido el limite de tiempo de Pago",P11)))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29"/>
  <sheetViews>
    <sheetView showGridLines="0" zoomScale="80" zoomScaleNormal="80" workbookViewId="0">
      <selection activeCell="D27" sqref="D27"/>
    </sheetView>
  </sheetViews>
  <sheetFormatPr baseColWidth="10" defaultRowHeight="15" x14ac:dyDescent="0.25"/>
  <cols>
    <col min="1" max="1" width="10" style="16" customWidth="1"/>
    <col min="2" max="2" width="14.28515625" style="12" customWidth="1"/>
    <col min="3" max="4" width="12.7109375" style="12" customWidth="1"/>
    <col min="5" max="5" width="31.5703125" customWidth="1"/>
    <col min="6" max="6" width="44.5703125" customWidth="1"/>
    <col min="7" max="7" width="14" style="12" customWidth="1"/>
    <col min="8" max="8" width="15.140625" style="37" customWidth="1"/>
    <col min="9" max="9" width="14.42578125" customWidth="1"/>
    <col min="10" max="10" width="14.42578125" style="34" customWidth="1"/>
    <col min="11" max="11" width="17.28515625" style="37" customWidth="1"/>
    <col min="12" max="12" width="16" style="37" customWidth="1"/>
    <col min="13" max="13" width="18.42578125" style="37" customWidth="1"/>
    <col min="14" max="14" width="19.42578125" style="105" customWidth="1"/>
  </cols>
  <sheetData>
    <row r="1" spans="1:17" x14ac:dyDescent="0.25">
      <c r="A1" s="15"/>
      <c r="B1" s="13"/>
      <c r="C1" s="13"/>
      <c r="D1" s="13"/>
      <c r="E1" s="6"/>
      <c r="F1" s="6"/>
      <c r="G1" s="13"/>
      <c r="H1" s="35"/>
      <c r="I1" s="6"/>
      <c r="J1" s="32"/>
      <c r="K1" s="35"/>
      <c r="L1" s="35"/>
      <c r="M1" s="35"/>
      <c r="N1" s="103"/>
      <c r="O1" s="6"/>
      <c r="P1" s="6"/>
      <c r="Q1" s="6"/>
    </row>
    <row r="2" spans="1:17" x14ac:dyDescent="0.25">
      <c r="A2" s="15"/>
      <c r="B2" s="13"/>
      <c r="C2" s="13"/>
      <c r="D2" s="13"/>
      <c r="E2" s="6"/>
      <c r="F2" s="6"/>
      <c r="G2" s="13"/>
      <c r="H2" s="35"/>
      <c r="I2" s="6"/>
      <c r="J2" s="32"/>
      <c r="K2" s="35"/>
      <c r="L2" s="35"/>
      <c r="M2" s="35"/>
      <c r="N2" s="103"/>
      <c r="O2" s="6"/>
      <c r="P2" s="6"/>
      <c r="Q2" s="6"/>
    </row>
    <row r="3" spans="1:17" ht="21.75" customHeight="1" x14ac:dyDescent="0.25">
      <c r="A3" s="15"/>
      <c r="B3" s="13"/>
      <c r="C3" s="13"/>
      <c r="D3" s="13"/>
      <c r="E3" s="6"/>
      <c r="F3" s="6"/>
      <c r="G3" s="13"/>
      <c r="H3" s="35"/>
      <c r="I3" s="6"/>
      <c r="J3" s="32"/>
      <c r="K3" s="35"/>
      <c r="L3" s="35"/>
      <c r="M3" s="35"/>
      <c r="N3" s="103"/>
      <c r="O3" s="6"/>
      <c r="P3" s="6"/>
      <c r="Q3" s="6"/>
    </row>
    <row r="4" spans="1:17" ht="46.5" customHeight="1" x14ac:dyDescent="0.25">
      <c r="A4" s="15"/>
      <c r="B4" s="13"/>
      <c r="C4" s="13"/>
      <c r="D4" s="13"/>
      <c r="E4" s="6"/>
      <c r="F4" s="6"/>
      <c r="G4" s="13"/>
      <c r="H4" s="35"/>
      <c r="I4" s="6"/>
      <c r="J4" s="32"/>
      <c r="K4" s="35"/>
      <c r="L4" s="35"/>
      <c r="M4" s="35"/>
      <c r="N4" s="103"/>
      <c r="O4" s="6"/>
      <c r="P4" s="6"/>
      <c r="Q4" s="6"/>
    </row>
    <row r="5" spans="1:17" ht="17.25" customHeight="1" x14ac:dyDescent="0.25">
      <c r="A5" s="7"/>
      <c r="B5" s="17"/>
      <c r="C5" s="17"/>
      <c r="D5" s="17"/>
      <c r="E5" s="3"/>
      <c r="F5" s="3"/>
      <c r="G5" s="17"/>
      <c r="H5" s="36"/>
      <c r="I5" s="3"/>
      <c r="J5" s="33"/>
      <c r="K5" s="36"/>
      <c r="L5" s="36"/>
      <c r="M5" s="36"/>
      <c r="N5" s="104"/>
      <c r="O5" s="3"/>
      <c r="P5" s="3"/>
    </row>
    <row r="6" spans="1:17" ht="17.25" customHeight="1" x14ac:dyDescent="0.25">
      <c r="A6" s="7"/>
      <c r="B6" s="17"/>
      <c r="C6" s="17"/>
      <c r="D6" s="17"/>
      <c r="E6" s="3"/>
      <c r="F6" s="3"/>
      <c r="G6" s="17"/>
      <c r="H6" s="36"/>
      <c r="I6" s="3"/>
      <c r="J6" s="33"/>
      <c r="K6" s="36"/>
      <c r="L6" s="36"/>
      <c r="M6" s="36"/>
      <c r="N6" s="104"/>
      <c r="O6" s="3"/>
      <c r="P6" s="3"/>
    </row>
    <row r="7" spans="1:17" ht="24" customHeight="1" x14ac:dyDescent="0.25">
      <c r="A7" s="7"/>
      <c r="B7" s="17"/>
      <c r="C7" s="17"/>
      <c r="D7" s="17"/>
      <c r="E7" s="3"/>
      <c r="F7" s="3"/>
      <c r="G7" s="17"/>
      <c r="H7" s="36"/>
      <c r="I7" s="3"/>
      <c r="J7" s="33"/>
      <c r="K7" s="36"/>
      <c r="L7" s="36"/>
      <c r="M7" s="36"/>
      <c r="N7" s="104"/>
      <c r="O7" s="3"/>
      <c r="P7" s="3"/>
    </row>
    <row r="8" spans="1:17" ht="24.75" customHeight="1" x14ac:dyDescent="0.25">
      <c r="A8" s="7"/>
      <c r="B8" s="17"/>
      <c r="C8" s="17"/>
      <c r="D8" s="17"/>
      <c r="E8" s="3"/>
      <c r="F8" s="3"/>
      <c r="G8" s="17"/>
      <c r="H8" s="36"/>
      <c r="I8" s="3"/>
      <c r="J8" s="33"/>
      <c r="K8" s="36"/>
      <c r="L8" s="36"/>
      <c r="M8" s="36"/>
      <c r="N8" s="104"/>
      <c r="O8" s="3"/>
      <c r="P8" s="3"/>
    </row>
    <row r="9" spans="1:17" ht="30" x14ac:dyDescent="0.25">
      <c r="B9" s="143" t="s">
        <v>34</v>
      </c>
      <c r="C9" s="75" t="s">
        <v>0</v>
      </c>
      <c r="D9" s="75" t="s">
        <v>11</v>
      </c>
      <c r="E9" s="76" t="s">
        <v>12</v>
      </c>
      <c r="F9" s="76" t="s">
        <v>13</v>
      </c>
      <c r="G9" s="75" t="s">
        <v>32</v>
      </c>
      <c r="H9" s="77" t="s">
        <v>14</v>
      </c>
      <c r="I9" s="76" t="s">
        <v>29</v>
      </c>
      <c r="J9" s="78" t="s">
        <v>33</v>
      </c>
      <c r="K9" s="77" t="s">
        <v>8</v>
      </c>
      <c r="L9" s="77" t="s">
        <v>41</v>
      </c>
      <c r="M9" s="77" t="s">
        <v>9</v>
      </c>
      <c r="N9" s="75" t="s">
        <v>18</v>
      </c>
      <c r="O9" s="1"/>
    </row>
    <row r="10" spans="1:17" s="3" customFormat="1" x14ac:dyDescent="0.25">
      <c r="A10" s="7"/>
      <c r="B10" s="98">
        <v>2</v>
      </c>
      <c r="C10" s="98" t="s">
        <v>43</v>
      </c>
      <c r="D10" s="98">
        <v>112003</v>
      </c>
      <c r="E10" s="99" t="str">
        <f>VLOOKUP(RESUMEN[ID Cliente],CLIENTES[],2,FALSE)</f>
        <v>CAROLINA YANEZ ORDOÑEZ</v>
      </c>
      <c r="F10" s="99" t="str">
        <f>VLOOKUP(RESUMEN[Codigo Empresa],EMPRESAS[],2,FALSE)</f>
        <v>ALCALDIA DE SANTA LUCIA</v>
      </c>
      <c r="G10" s="102">
        <v>43863</v>
      </c>
      <c r="H10" s="100">
        <v>10000</v>
      </c>
      <c r="I10" s="99" t="s">
        <v>28</v>
      </c>
      <c r="J10" s="101">
        <v>0.2</v>
      </c>
      <c r="K10" s="100">
        <f ca="1">SUMIFS(ESTADOS[Importe Cuota],ESTADOS[Cod. Cuenta por Cobrar ],RESUMEN[[#This Row],[Cod. Cuenta por Cobrar]],ESTADOS[[Estado de Factura ]],"PAGADO")</f>
        <v>1200</v>
      </c>
      <c r="L10" s="100">
        <f ca="1">RESUMEN[Monto Pagado]-RESUMEN[Valor Factura]</f>
        <v>-8800</v>
      </c>
      <c r="M10" s="100">
        <f ca="1">((RESUMEN[Valor Factura]*RESUMEN[Tasa de Interes])+RESUMEN[Valor Factura])-RESUMEN[Monto Pagado]</f>
        <v>10800</v>
      </c>
      <c r="N10" s="98">
        <f>COUNTIFS(ESTADOS[Cod. Cuenta por Cobrar ],RESUMEN[[#This Row],[Cod. Cuenta por Cobrar]],ESTADOS[Fecha PAGO],"")</f>
        <v>9</v>
      </c>
      <c r="O10" s="24"/>
    </row>
    <row r="11" spans="1:17" s="3" customFormat="1" x14ac:dyDescent="0.25">
      <c r="A11" s="7"/>
      <c r="B11" s="12"/>
      <c r="C11" s="12"/>
      <c r="D11" s="12"/>
      <c r="E11"/>
      <c r="F11"/>
      <c r="G11" s="12"/>
      <c r="H11" s="37"/>
      <c r="I11"/>
      <c r="J11" s="34"/>
      <c r="K11" s="37"/>
      <c r="L11" s="37"/>
      <c r="M11" s="37"/>
      <c r="N11" s="105"/>
      <c r="O11" s="24"/>
    </row>
    <row r="12" spans="1:17" s="3" customFormat="1" x14ac:dyDescent="0.25">
      <c r="A12" s="7"/>
      <c r="B12" s="12"/>
      <c r="C12" s="12"/>
      <c r="D12" s="12"/>
      <c r="E12"/>
      <c r="F12"/>
      <c r="G12" s="12"/>
      <c r="H12" s="37"/>
      <c r="I12"/>
      <c r="J12" s="34"/>
      <c r="K12" s="37"/>
      <c r="L12" s="37"/>
      <c r="M12" s="37"/>
      <c r="N12" s="105"/>
      <c r="O12" s="24"/>
    </row>
    <row r="13" spans="1:17" s="3" customFormat="1" x14ac:dyDescent="0.25">
      <c r="A13" s="7"/>
      <c r="B13" s="12"/>
      <c r="C13" s="12"/>
      <c r="D13" s="12"/>
      <c r="E13"/>
      <c r="F13"/>
      <c r="G13" s="12"/>
      <c r="H13" s="37"/>
      <c r="I13"/>
      <c r="J13" s="34"/>
      <c r="K13" s="37"/>
      <c r="L13" s="37"/>
      <c r="M13" s="37"/>
      <c r="N13" s="105"/>
      <c r="O13" s="24"/>
    </row>
    <row r="14" spans="1:17" s="3" customFormat="1" x14ac:dyDescent="0.25">
      <c r="A14" s="7"/>
      <c r="B14" s="12"/>
      <c r="C14" s="12"/>
      <c r="D14" s="12"/>
      <c r="E14"/>
      <c r="F14"/>
      <c r="G14" s="12"/>
      <c r="H14" s="37"/>
      <c r="I14"/>
      <c r="J14" s="34"/>
      <c r="K14" s="37"/>
      <c r="L14" s="37"/>
      <c r="M14" s="37"/>
      <c r="N14" s="105"/>
      <c r="O14" s="24"/>
    </row>
    <row r="15" spans="1:17" s="3" customFormat="1" x14ac:dyDescent="0.25">
      <c r="A15" s="7"/>
      <c r="B15" s="12"/>
      <c r="C15" s="12"/>
      <c r="D15" s="12"/>
      <c r="E15"/>
      <c r="F15"/>
      <c r="G15" s="12"/>
      <c r="H15" s="37"/>
      <c r="I15"/>
      <c r="J15" s="34"/>
      <c r="K15" s="37"/>
      <c r="L15" s="37"/>
      <c r="M15" s="37"/>
      <c r="N15" s="105"/>
      <c r="O15" s="24"/>
    </row>
    <row r="16" spans="1:17" s="3" customFormat="1" x14ac:dyDescent="0.25">
      <c r="A16" s="7"/>
      <c r="B16" s="12"/>
      <c r="C16" s="12"/>
      <c r="D16" s="12"/>
      <c r="E16"/>
      <c r="F16"/>
      <c r="G16" s="12"/>
      <c r="H16" s="37"/>
      <c r="I16"/>
      <c r="J16" s="34"/>
      <c r="K16" s="37"/>
      <c r="L16" s="37"/>
      <c r="M16" s="37"/>
      <c r="N16" s="105"/>
      <c r="O16" s="24"/>
    </row>
    <row r="17" spans="1:15" s="3" customFormat="1" x14ac:dyDescent="0.25">
      <c r="A17" s="7"/>
      <c r="B17" s="12"/>
      <c r="C17" s="12"/>
      <c r="D17" s="12"/>
      <c r="E17"/>
      <c r="F17"/>
      <c r="G17" s="12"/>
      <c r="H17" s="37"/>
      <c r="I17"/>
      <c r="J17" s="34"/>
      <c r="K17" s="37"/>
      <c r="L17" s="37"/>
      <c r="M17" s="37"/>
      <c r="N17" s="105"/>
      <c r="O17" s="24"/>
    </row>
    <row r="18" spans="1:15" s="3" customFormat="1" x14ac:dyDescent="0.25">
      <c r="A18" s="7"/>
      <c r="B18" s="12"/>
      <c r="C18" s="12"/>
      <c r="D18" s="12"/>
      <c r="E18"/>
      <c r="F18"/>
      <c r="G18" s="12"/>
      <c r="H18" s="37"/>
      <c r="I18"/>
      <c r="J18" s="34"/>
      <c r="K18" s="37"/>
      <c r="L18" s="37"/>
      <c r="M18" s="37"/>
      <c r="N18" s="105"/>
      <c r="O18" s="24"/>
    </row>
    <row r="19" spans="1:15" s="3" customFormat="1" x14ac:dyDescent="0.25">
      <c r="A19" s="7"/>
      <c r="B19" s="12"/>
      <c r="C19" s="12"/>
      <c r="D19" s="12"/>
      <c r="E19"/>
      <c r="F19"/>
      <c r="G19" s="12"/>
      <c r="H19" s="37"/>
      <c r="I19"/>
      <c r="J19" s="34"/>
      <c r="K19" s="37"/>
      <c r="L19" s="37"/>
      <c r="M19" s="37"/>
      <c r="N19" s="105"/>
      <c r="O19" s="24"/>
    </row>
    <row r="20" spans="1:15" s="3" customFormat="1" x14ac:dyDescent="0.25">
      <c r="A20" s="7"/>
      <c r="B20" s="12"/>
      <c r="C20" s="12"/>
      <c r="D20" s="12"/>
      <c r="E20"/>
      <c r="F20"/>
      <c r="G20" s="12"/>
      <c r="H20" s="37"/>
      <c r="I20"/>
      <c r="J20" s="34"/>
      <c r="K20" s="37"/>
      <c r="L20" s="37"/>
      <c r="M20" s="37"/>
      <c r="N20" s="105"/>
      <c r="O20" s="24"/>
    </row>
    <row r="21" spans="1:15" s="3" customFormat="1" x14ac:dyDescent="0.25">
      <c r="A21" s="7"/>
      <c r="B21" s="12"/>
      <c r="C21" s="41"/>
      <c r="D21" s="41"/>
      <c r="E21" s="16"/>
      <c r="F21" s="16"/>
      <c r="G21" s="12"/>
      <c r="H21" s="37"/>
      <c r="I21"/>
      <c r="J21" s="34"/>
      <c r="K21" s="37"/>
      <c r="L21" s="37"/>
      <c r="M21" s="37"/>
      <c r="N21" s="105"/>
      <c r="O21" s="24"/>
    </row>
    <row r="22" spans="1:15" s="3" customFormat="1" x14ac:dyDescent="0.25">
      <c r="A22" s="7"/>
      <c r="B22" s="12"/>
      <c r="C22" s="41"/>
      <c r="D22" s="41"/>
      <c r="E22" s="16"/>
      <c r="F22" s="16"/>
      <c r="G22" s="12"/>
      <c r="H22" s="37"/>
      <c r="I22"/>
      <c r="J22" s="34"/>
      <c r="K22" s="37"/>
      <c r="L22" s="37"/>
      <c r="M22" s="37"/>
      <c r="N22" s="105"/>
      <c r="O22" s="24"/>
    </row>
    <row r="23" spans="1:15" s="3" customFormat="1" x14ac:dyDescent="0.25">
      <c r="A23" s="7"/>
      <c r="B23" s="12"/>
      <c r="C23" s="41"/>
      <c r="D23" s="41"/>
      <c r="E23" s="16"/>
      <c r="F23" s="16"/>
      <c r="G23" s="12"/>
      <c r="H23" s="37"/>
      <c r="I23"/>
      <c r="J23" s="34"/>
      <c r="K23" s="37"/>
      <c r="L23" s="37"/>
      <c r="M23" s="37"/>
      <c r="N23" s="105"/>
      <c r="O23" s="24"/>
    </row>
    <row r="24" spans="1:15" s="3" customFormat="1" x14ac:dyDescent="0.25">
      <c r="A24" s="7"/>
      <c r="B24" s="12"/>
      <c r="C24" s="41"/>
      <c r="D24" s="41"/>
      <c r="E24" s="16"/>
      <c r="F24" s="16"/>
      <c r="G24" s="12"/>
      <c r="H24" s="37"/>
      <c r="I24"/>
      <c r="J24" s="34"/>
      <c r="K24" s="37"/>
      <c r="L24" s="37"/>
      <c r="M24" s="37"/>
      <c r="N24" s="105"/>
      <c r="O24" s="24"/>
    </row>
    <row r="25" spans="1:15" s="3" customFormat="1" x14ac:dyDescent="0.25">
      <c r="A25" s="7"/>
      <c r="B25" s="12"/>
      <c r="C25" s="12"/>
      <c r="D25" s="12"/>
      <c r="E25"/>
      <c r="F25"/>
      <c r="G25" s="12"/>
      <c r="H25" s="37"/>
      <c r="I25"/>
      <c r="J25" s="34"/>
      <c r="K25" s="37"/>
      <c r="L25" s="37"/>
      <c r="M25" s="37"/>
      <c r="N25" s="105"/>
      <c r="O25" s="24"/>
    </row>
    <row r="26" spans="1:15" s="3" customFormat="1" x14ac:dyDescent="0.25">
      <c r="A26" s="7"/>
      <c r="B26" s="12"/>
      <c r="C26" s="12"/>
      <c r="D26" s="12"/>
      <c r="E26"/>
      <c r="F26"/>
      <c r="G26" s="12"/>
      <c r="H26" s="37"/>
      <c r="I26"/>
      <c r="J26" s="34"/>
      <c r="K26" s="37"/>
      <c r="L26" s="37"/>
      <c r="M26" s="37"/>
      <c r="N26" s="105"/>
      <c r="O26" s="24"/>
    </row>
    <row r="27" spans="1:15" x14ac:dyDescent="0.25">
      <c r="O27" s="1"/>
    </row>
    <row r="28" spans="1:15" x14ac:dyDescent="0.25">
      <c r="O28" s="1"/>
    </row>
    <row r="29" spans="1:15" x14ac:dyDescent="0.25">
      <c r="O29" s="1"/>
    </row>
  </sheetData>
  <conditionalFormatting sqref="L10">
    <cfRule type="cellIs" dxfId="17" priority="1" operator="greaterThan">
      <formula>0</formula>
    </cfRule>
    <cfRule type="cellIs" dxfId="16" priority="2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Inicio</vt:lpstr>
      <vt:lpstr>Registro Clientes</vt:lpstr>
      <vt:lpstr>Registro Empresa</vt:lpstr>
      <vt:lpstr>BD Clientes</vt:lpstr>
      <vt:lpstr>BD Empresas</vt:lpstr>
      <vt:lpstr>Calculadora</vt:lpstr>
      <vt:lpstr>Estado de Cuenta</vt:lpstr>
      <vt:lpstr>Resumen</vt:lpstr>
      <vt:lpstr>modalidad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Tiffany Matamoros</dc:creator>
  <cp:lastModifiedBy>Tiffany Matamoros</cp:lastModifiedBy>
  <dcterms:created xsi:type="dcterms:W3CDTF">2020-10-21T17:31:08Z</dcterms:created>
  <dcterms:modified xsi:type="dcterms:W3CDTF">2021-01-25T19:08:20Z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5573db81-2c59-4d22-a06d-cd07e9024aeb</vt:lpwstr>
  </property>
</Properties>
</file>